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/>
  <xr:revisionPtr revIDLastSave="0" documentId="8_{538BDBF0-3A57-4CDA-975E-8C1A0BC2B36C}" xr6:coauthVersionLast="47" xr6:coauthVersionMax="47" xr10:uidLastSave="{00000000-0000-0000-0000-000000000000}"/>
  <bookViews>
    <workbookView xWindow="0" yWindow="0" windowWidth="0" windowHeight="0" firstSheet="8" activeTab="8" xr2:uid="{00000000-000D-0000-FFFF-FFFF00000000}"/>
  </bookViews>
  <sheets>
    <sheet name="Sales_Transactions" sheetId="1" r:id="rId1"/>
    <sheet name="Clients" sheetId="2" r:id="rId2"/>
    <sheet name="Products" sheetId="3" r:id="rId3"/>
    <sheet name="Sales_Reps" sheetId="4" r:id="rId4"/>
    <sheet name="Support_Tickets" sheetId="5" r:id="rId5"/>
    <sheet name="Sheet1" sheetId="6" r:id="rId6"/>
    <sheet name="Sheet2" sheetId="7" r:id="rId7"/>
    <sheet name="Sheet3" sheetId="8" r:id="rId8"/>
    <sheet name="Sheet4" sheetId="9" r:id="rId9"/>
  </sheets>
  <definedNames>
    <definedName name="_xlnm._FilterDatabase" localSheetId="4" hidden="1">Support_Tickets!$A$1:$G$93</definedName>
    <definedName name="_xlnm._FilterDatabase" localSheetId="1" hidden="1">Clients!$A$1:$H$61</definedName>
    <definedName name="_xlnm._FilterDatabase" localSheetId="2" hidden="1">Products!$A$1:$F$13</definedName>
    <definedName name="_xlnm._FilterDatabase" localSheetId="3" hidden="1">Sales_Reps!$A$1:$F$13</definedName>
    <definedName name="_xlnm._FilterDatabase" localSheetId="0" hidden="1">Sales_Transactions!$A$1:$M$251</definedName>
    <definedName name="_xlnm._FilterDatabase" localSheetId="8" hidden="1">Sheet4!$C$7:$F$7</definedName>
    <definedName name="Slicer_Category">#N/A</definedName>
  </definedNames>
  <calcPr calcId="191028"/>
  <pivotCaches>
    <pivotCache cacheId="137" r:id="rId10"/>
    <pivotCache cacheId="138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F26" i="9"/>
  <c r="F27" i="9"/>
  <c r="F8" i="9"/>
  <c r="F14" i="9"/>
  <c r="F73" i="9"/>
  <c r="F74" i="9"/>
  <c r="F20" i="9"/>
  <c r="F56" i="9"/>
  <c r="F67" i="9"/>
  <c r="F68" i="9"/>
  <c r="F9" i="9"/>
  <c r="F61" i="9"/>
  <c r="F38" i="9"/>
  <c r="F57" i="9"/>
  <c r="F39" i="9"/>
  <c r="F58" i="9"/>
  <c r="F32" i="9"/>
  <c r="F28" i="9"/>
  <c r="F15" i="9"/>
  <c r="F45" i="9"/>
  <c r="F16" i="9"/>
  <c r="F21" i="9"/>
  <c r="F50" i="9"/>
  <c r="F75" i="9"/>
  <c r="F33" i="9"/>
  <c r="F40" i="9"/>
  <c r="F46" i="9"/>
  <c r="F76" i="9"/>
  <c r="F22" i="9"/>
  <c r="F23" i="9"/>
  <c r="F51" i="9"/>
  <c r="F59" i="9"/>
  <c r="F62" i="9"/>
  <c r="F34" i="9"/>
  <c r="F10" i="9"/>
  <c r="F52" i="9"/>
  <c r="F69" i="9"/>
  <c r="F17" i="9"/>
  <c r="F41" i="9"/>
  <c r="F11" i="9"/>
  <c r="F63" i="9"/>
  <c r="F53" i="9"/>
  <c r="F77" i="9"/>
  <c r="F42" i="9"/>
  <c r="F54" i="9"/>
  <c r="F64" i="9"/>
  <c r="F18" i="9"/>
  <c r="F24" i="9"/>
  <c r="F29" i="9"/>
  <c r="F70" i="9"/>
  <c r="F12" i="9"/>
  <c r="F35" i="9"/>
  <c r="F13" i="9"/>
  <c r="F43" i="9"/>
  <c r="F47" i="9"/>
  <c r="F30" i="9"/>
  <c r="F36" i="9"/>
  <c r="F37" i="9"/>
  <c r="F60" i="9"/>
  <c r="F55" i="9"/>
  <c r="F65" i="9"/>
  <c r="F71" i="9"/>
  <c r="F31" i="9"/>
  <c r="F48" i="9"/>
  <c r="F19" i="9"/>
  <c r="F66" i="9"/>
  <c r="F72" i="9"/>
  <c r="F25" i="9"/>
  <c r="F49" i="9"/>
  <c r="F78" i="9"/>
  <c r="F44" i="9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5" i="8"/>
  <c r="H9" i="7"/>
  <c r="H10" i="7"/>
  <c r="H11" i="7"/>
  <c r="H12" i="7"/>
  <c r="H13" i="7"/>
  <c r="H14" i="7"/>
  <c r="H15" i="7"/>
  <c r="H16" i="7"/>
  <c r="H17" i="7"/>
  <c r="H8" i="7"/>
  <c r="G18" i="7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5" i="6"/>
</calcChain>
</file>

<file path=xl/sharedStrings.xml><?xml version="1.0" encoding="utf-8"?>
<sst xmlns="http://schemas.openxmlformats.org/spreadsheetml/2006/main" count="4412" uniqueCount="772">
  <si>
    <t>OrderID</t>
  </si>
  <si>
    <t>OrderDate</t>
  </si>
  <si>
    <t>ClientID</t>
  </si>
  <si>
    <t>ProductID</t>
  </si>
  <si>
    <t>SalesRepID</t>
  </si>
  <si>
    <t>Quantity</t>
  </si>
  <si>
    <t>UnitPrice</t>
  </si>
  <si>
    <t>Discount_pct</t>
  </si>
  <si>
    <t>Region</t>
  </si>
  <si>
    <t>DealStatus</t>
  </si>
  <si>
    <t>PaymentTerms</t>
  </si>
  <si>
    <t>Currency</t>
  </si>
  <si>
    <t>Revenue</t>
  </si>
  <si>
    <t>ORD-1110</t>
  </si>
  <si>
    <t>CLI-043</t>
  </si>
  <si>
    <t>PRD-07</t>
  </si>
  <si>
    <t>REP-07</t>
  </si>
  <si>
    <t>N/A</t>
  </si>
  <si>
    <t>Asia-Pacific</t>
  </si>
  <si>
    <t>Won</t>
  </si>
  <si>
    <t>Immediate</t>
  </si>
  <si>
    <t>USD</t>
  </si>
  <si>
    <t>ORD-1063</t>
  </si>
  <si>
    <t>CLI-025</t>
  </si>
  <si>
    <t>PRD-04</t>
  </si>
  <si>
    <t>REP-04</t>
  </si>
  <si>
    <t>North America</t>
  </si>
  <si>
    <t>Net 30</t>
  </si>
  <si>
    <t>EUR</t>
  </si>
  <si>
    <t>ORD-1121</t>
  </si>
  <si>
    <t>CLI-056</t>
  </si>
  <si>
    <t>PRD-02</t>
  </si>
  <si>
    <t>Pending</t>
  </si>
  <si>
    <t>Net 15</t>
  </si>
  <si>
    <t>ORD-1178</t>
  </si>
  <si>
    <t>CLI-012</t>
  </si>
  <si>
    <t>PRD-12</t>
  </si>
  <si>
    <t>REP-01</t>
  </si>
  <si>
    <t>Net30</t>
  </si>
  <si>
    <t>ORD-1235</t>
  </si>
  <si>
    <t>CLI-042</t>
  </si>
  <si>
    <t>PRD-03</t>
  </si>
  <si>
    <t>REP-02</t>
  </si>
  <si>
    <t>Quarterly</t>
  </si>
  <si>
    <t>ORD-1016</t>
  </si>
  <si>
    <t>CLI-026</t>
  </si>
  <si>
    <t>REP-12</t>
  </si>
  <si>
    <t>Lost</t>
  </si>
  <si>
    <t>Net 60</t>
  </si>
  <si>
    <t>INR</t>
  </si>
  <si>
    <t>ORD-1148</t>
  </si>
  <si>
    <t>CLI-032</t>
  </si>
  <si>
    <t>PRD-10</t>
  </si>
  <si>
    <t>REP-03</t>
  </si>
  <si>
    <t>India</t>
  </si>
  <si>
    <t>ORD-1126</t>
  </si>
  <si>
    <t>CLI-048</t>
  </si>
  <si>
    <t>PRD-05</t>
  </si>
  <si>
    <t>ORD-1072</t>
  </si>
  <si>
    <t>CLI-013</t>
  </si>
  <si>
    <t>Europe</t>
  </si>
  <si>
    <t>ORD-1054</t>
  </si>
  <si>
    <t>CLI-009</t>
  </si>
  <si>
    <t>PRD-08</t>
  </si>
  <si>
    <t>ORD-1103</t>
  </si>
  <si>
    <t>CLI-033</t>
  </si>
  <si>
    <t>ORD-1209</t>
  </si>
  <si>
    <t>CLI-007</t>
  </si>
  <si>
    <t>PRD-01</t>
  </si>
  <si>
    <t>REP-09</t>
  </si>
  <si>
    <t>ORD-1061</t>
  </si>
  <si>
    <t>CLI-006</t>
  </si>
  <si>
    <t>PRD-11</t>
  </si>
  <si>
    <t>REP-11</t>
  </si>
  <si>
    <t>In Progress</t>
  </si>
  <si>
    <t>Annual</t>
  </si>
  <si>
    <t>ORD-1092</t>
  </si>
  <si>
    <t>ORD-1245</t>
  </si>
  <si>
    <t>CLI-022</t>
  </si>
  <si>
    <t>PRD-06</t>
  </si>
  <si>
    <t>ORD-1086</t>
  </si>
  <si>
    <t>CLI-060</t>
  </si>
  <si>
    <t>Closed Won</t>
  </si>
  <si>
    <t>ORD-1021</t>
  </si>
  <si>
    <t>CLI-003</t>
  </si>
  <si>
    <t>REP-10</t>
  </si>
  <si>
    <t>ORD-1007</t>
  </si>
  <si>
    <t>REP-06</t>
  </si>
  <si>
    <t>Closed Lost</t>
  </si>
  <si>
    <t>ORD-1056</t>
  </si>
  <si>
    <t>CLI-054</t>
  </si>
  <si>
    <t>PRD-09</t>
  </si>
  <si>
    <t>ORD-1024</t>
  </si>
  <si>
    <t>ORD-1017</t>
  </si>
  <si>
    <t>CLI-030</t>
  </si>
  <si>
    <t>ORD-1225</t>
  </si>
  <si>
    <t>CLI-057</t>
  </si>
  <si>
    <t>REP-05</t>
  </si>
  <si>
    <t>Middle East and Africa</t>
  </si>
  <si>
    <t>ORD-1083</t>
  </si>
  <si>
    <t>ORD-1202</t>
  </si>
  <si>
    <t>CLI-050</t>
  </si>
  <si>
    <t>ORD-1025</t>
  </si>
  <si>
    <t>CLI-016</t>
  </si>
  <si>
    <t>ORD-1217</t>
  </si>
  <si>
    <t>ORD-1120</t>
  </si>
  <si>
    <t>CLI-014</t>
  </si>
  <si>
    <t>ORD-1223</t>
  </si>
  <si>
    <t>ORD-1022</t>
  </si>
  <si>
    <t>CLI-035</t>
  </si>
  <si>
    <t>ORD-1187</t>
  </si>
  <si>
    <t>CLI-037</t>
  </si>
  <si>
    <t>REP-08</t>
  </si>
  <si>
    <t>ORD-1203</t>
  </si>
  <si>
    <t>CLI-004</t>
  </si>
  <si>
    <t>ORD-1244</t>
  </si>
  <si>
    <t>ORD-1039</t>
  </si>
  <si>
    <t>ORD-1197</t>
  </si>
  <si>
    <t>ORD-1211</t>
  </si>
  <si>
    <t>ORD-1169</t>
  </si>
  <si>
    <t>CLI-051</t>
  </si>
  <si>
    <t>ORD-1081</t>
  </si>
  <si>
    <t>CLI-002</t>
  </si>
  <si>
    <t>ORD-1111</t>
  </si>
  <si>
    <t>CLI-018</t>
  </si>
  <si>
    <t>ORD-1243</t>
  </si>
  <si>
    <t>ORD-1004</t>
  </si>
  <si>
    <t>CLI-008</t>
  </si>
  <si>
    <t>ORD-1102</t>
  </si>
  <si>
    <t>ORD-1000</t>
  </si>
  <si>
    <t>ORD-1043</t>
  </si>
  <si>
    <t>CLI-045</t>
  </si>
  <si>
    <t>ORD-1107</t>
  </si>
  <si>
    <t>ORD-1135</t>
  </si>
  <si>
    <t>ORD-1117</t>
  </si>
  <si>
    <t>ORD-1150</t>
  </si>
  <si>
    <t>ORD-1228</t>
  </si>
  <si>
    <t>ORD-1095</t>
  </si>
  <si>
    <t>ORD-1160</t>
  </si>
  <si>
    <t>ORD-1093</t>
  </si>
  <si>
    <t>CLI-036</t>
  </si>
  <si>
    <t>ORD-1018</t>
  </si>
  <si>
    <t>CLI-034</t>
  </si>
  <si>
    <t>ORD-1002</t>
  </si>
  <si>
    <t>CLI-046</t>
  </si>
  <si>
    <t>ORD-1077</t>
  </si>
  <si>
    <t>ORD-1221</t>
  </si>
  <si>
    <t>CLI-044</t>
  </si>
  <si>
    <t>ORD-1195</t>
  </si>
  <si>
    <t>CLI-059</t>
  </si>
  <si>
    <t>ORD-1199</t>
  </si>
  <si>
    <t>CLI-031</t>
  </si>
  <si>
    <t>ORD-1129</t>
  </si>
  <si>
    <t>CLI-041</t>
  </si>
  <si>
    <t>ORD-1116</t>
  </si>
  <si>
    <t>CLI-021</t>
  </si>
  <si>
    <t>ORD-1098</t>
  </si>
  <si>
    <t>ORD-1222</t>
  </si>
  <si>
    <t>CLI-038</t>
  </si>
  <si>
    <t>ORD-1201</t>
  </si>
  <si>
    <t>ORD-1058</t>
  </si>
  <si>
    <t>CLI-027</t>
  </si>
  <si>
    <t>ORD-1153</t>
  </si>
  <si>
    <t>ORD-1036</t>
  </si>
  <si>
    <t>ORD-1032</t>
  </si>
  <si>
    <t>ORD-1145</t>
  </si>
  <si>
    <t>ORD-1144</t>
  </si>
  <si>
    <t>ORD-1048</t>
  </si>
  <si>
    <t>ORD-1124</t>
  </si>
  <si>
    <t>ORD-1205</t>
  </si>
  <si>
    <t>CLI-011</t>
  </si>
  <si>
    <t>ORD-1031</t>
  </si>
  <si>
    <t>ORD-1137</t>
  </si>
  <si>
    <t>CLI-047</t>
  </si>
  <si>
    <t>ORD-1204</t>
  </si>
  <si>
    <t>ORD-1089</t>
  </si>
  <si>
    <t>ORD-1186</t>
  </si>
  <si>
    <t>ORD-1237</t>
  </si>
  <si>
    <t>ORD-1193</t>
  </si>
  <si>
    <t>ORD-1212</t>
  </si>
  <si>
    <t>ORD-1134</t>
  </si>
  <si>
    <t>CLI-015</t>
  </si>
  <si>
    <t>ORD-1079</t>
  </si>
  <si>
    <t>ORD-1236</t>
  </si>
  <si>
    <t>ORD-1046</t>
  </si>
  <si>
    <t>ORD-1085</t>
  </si>
  <si>
    <t>ORD-1042</t>
  </si>
  <si>
    <t>ORD-1112</t>
  </si>
  <si>
    <t>ORD-1192</t>
  </si>
  <si>
    <t>ORD-1104</t>
  </si>
  <si>
    <t>ORD-1147</t>
  </si>
  <si>
    <t>ORD-1011</t>
  </si>
  <si>
    <t>ORD-1151</t>
  </si>
  <si>
    <t>ORD-1184</t>
  </si>
  <si>
    <t>ORD-1069</t>
  </si>
  <si>
    <t>CLI-049</t>
  </si>
  <si>
    <t>ORD-1241</t>
  </si>
  <si>
    <t>ORD-1020</t>
  </si>
  <si>
    <t>ORD-1152</t>
  </si>
  <si>
    <t>ORD-1173</t>
  </si>
  <si>
    <t>ORD-1066</t>
  </si>
  <si>
    <t>ORD-1023</t>
  </si>
  <si>
    <t>ORD-1028</t>
  </si>
  <si>
    <t>ORD-1132</t>
  </si>
  <si>
    <t>ORD-1040</t>
  </si>
  <si>
    <t>CLI-020</t>
  </si>
  <si>
    <t>ORD-1125</t>
  </si>
  <si>
    <t>ORD-1100</t>
  </si>
  <si>
    <t>ORD-1009</t>
  </si>
  <si>
    <t>ORD-1142</t>
  </si>
  <si>
    <t>ORD-1234</t>
  </si>
  <si>
    <t>CLI-053</t>
  </si>
  <si>
    <t>ORD-1229</t>
  </si>
  <si>
    <t>ORD-1155</t>
  </si>
  <si>
    <t>ORD-1062</t>
  </si>
  <si>
    <t>ORD-1038</t>
  </si>
  <si>
    <t>ORD-1177</t>
  </si>
  <si>
    <t>ORD-1078</t>
  </si>
  <si>
    <t>ORD-1156</t>
  </si>
  <si>
    <t>ORD-1158</t>
  </si>
  <si>
    <t>ORD-1198</t>
  </si>
  <si>
    <t>ORD-1238</t>
  </si>
  <si>
    <t>ORD-1162</t>
  </si>
  <si>
    <t>ORD-1118</t>
  </si>
  <si>
    <t>ORD-1123</t>
  </si>
  <si>
    <t>ORD-1005</t>
  </si>
  <si>
    <t>ORD-1119</t>
  </si>
  <si>
    <t>ORD-1207</t>
  </si>
  <si>
    <t>ORD-1059</t>
  </si>
  <si>
    <t>ORD-1084</t>
  </si>
  <si>
    <t>ORD-1001</t>
  </si>
  <si>
    <t>ORD-1065</t>
  </si>
  <si>
    <t>ORD-1183</t>
  </si>
  <si>
    <t>CLI-005</t>
  </si>
  <si>
    <t>ORD-1219</t>
  </si>
  <si>
    <t>ORD-1067</t>
  </si>
  <si>
    <t>ORD-1071</t>
  </si>
  <si>
    <t>ORD-1109</t>
  </si>
  <si>
    <t>ORD-1010</t>
  </si>
  <si>
    <t>CLI-024</t>
  </si>
  <si>
    <t>ORD-1096</t>
  </si>
  <si>
    <t>CLI-017</t>
  </si>
  <si>
    <t>ORD-1030</t>
  </si>
  <si>
    <t>ORD-1239</t>
  </si>
  <si>
    <t>ORD-1044</t>
  </si>
  <si>
    <t>ORD-1047</t>
  </si>
  <si>
    <t>ORD-1019</t>
  </si>
  <si>
    <t>ORD-1216</t>
  </si>
  <si>
    <t>ORD-1114</t>
  </si>
  <si>
    <t>ORD-1213</t>
  </si>
  <si>
    <t>CLI-023</t>
  </si>
  <si>
    <t>ORD-1049</t>
  </si>
  <si>
    <t>ORD-1050</t>
  </si>
  <si>
    <t>CLI-055</t>
  </si>
  <si>
    <t>ORD-1139</t>
  </si>
  <si>
    <t>ORD-1094</t>
  </si>
  <si>
    <t>ORD-1167</t>
  </si>
  <si>
    <t>ORD-1113</t>
  </si>
  <si>
    <t>ORD-1185</t>
  </si>
  <si>
    <t>ORD-1180</t>
  </si>
  <si>
    <t>ORD-1208</t>
  </si>
  <si>
    <t>ORD-1231</t>
  </si>
  <si>
    <t>ORD-1230</t>
  </si>
  <si>
    <t>ORD-1233</t>
  </si>
  <si>
    <t>CLI-001</t>
  </si>
  <si>
    <t>ORD-1200</t>
  </si>
  <si>
    <t>ORD-1164</t>
  </si>
  <si>
    <t>ORD-1190</t>
  </si>
  <si>
    <t>ORD-1012</t>
  </si>
  <si>
    <t>ORD-1224</t>
  </si>
  <si>
    <t>ORD-1130</t>
  </si>
  <si>
    <t>ORD-1060</t>
  </si>
  <si>
    <t>ORD-1099</t>
  </si>
  <si>
    <t>ORD-1168</t>
  </si>
  <si>
    <t>ORD-1165</t>
  </si>
  <si>
    <t>ORD-1057</t>
  </si>
  <si>
    <t>ORD-1247</t>
  </si>
  <si>
    <t>ORD-1157</t>
  </si>
  <si>
    <t>ORD-1026</t>
  </si>
  <si>
    <t>ORD-1091</t>
  </si>
  <si>
    <t>ORD-1008</t>
  </si>
  <si>
    <t>CLI-052</t>
  </si>
  <si>
    <t>ORD-1214</t>
  </si>
  <si>
    <t>ORD-1052</t>
  </si>
  <si>
    <t>ORD-1249</t>
  </si>
  <si>
    <t>ORD-1176</t>
  </si>
  <si>
    <t>ORD-1015</t>
  </si>
  <si>
    <t>ORD-1189</t>
  </si>
  <si>
    <t>ORD-1064</t>
  </si>
  <si>
    <t>ORD-1174</t>
  </si>
  <si>
    <t>ORD-1196</t>
  </si>
  <si>
    <t>ORD-1041</t>
  </si>
  <si>
    <t>ORD-1068</t>
  </si>
  <si>
    <t>ORD-1227</t>
  </si>
  <si>
    <t>ORD-1014</t>
  </si>
  <si>
    <t>ORD-1171</t>
  </si>
  <si>
    <t>ORD-1013</t>
  </si>
  <si>
    <t>ORD-1037</t>
  </si>
  <si>
    <t>ORD-1097</t>
  </si>
  <si>
    <t>ORD-1006</t>
  </si>
  <si>
    <t>ORD-1027</t>
  </si>
  <si>
    <t>ORD-1133</t>
  </si>
  <si>
    <t>ORD-1003</t>
  </si>
  <si>
    <t>ORD-1108</t>
  </si>
  <si>
    <t>ORD-1073</t>
  </si>
  <si>
    <t>ORD-1136</t>
  </si>
  <si>
    <t>ORD-1240</t>
  </si>
  <si>
    <t>ORD-1106</t>
  </si>
  <si>
    <t>ORD-1210</t>
  </si>
  <si>
    <t>ORD-1170</t>
  </si>
  <si>
    <t>ORD-1146</t>
  </si>
  <si>
    <t>ORD-1149</t>
  </si>
  <si>
    <t>ORD-1122</t>
  </si>
  <si>
    <t>ORD-1143</t>
  </si>
  <si>
    <t>ORD-1090</t>
  </si>
  <si>
    <t>ORD-1194</t>
  </si>
  <si>
    <t>ORD-1029</t>
  </si>
  <si>
    <t>CLI-028</t>
  </si>
  <si>
    <t>ORD-1218</t>
  </si>
  <si>
    <t>ORD-1082</t>
  </si>
  <si>
    <t>CLI-010</t>
  </si>
  <si>
    <t>ORD-1163</t>
  </si>
  <si>
    <t>ORD-1138</t>
  </si>
  <si>
    <t>CLI-039</t>
  </si>
  <si>
    <t>ORD-1128</t>
  </si>
  <si>
    <t>ORD-1045</t>
  </si>
  <si>
    <t>ORD-1166</t>
  </si>
  <si>
    <t>ORD-1181</t>
  </si>
  <si>
    <t>ORD-1033</t>
  </si>
  <si>
    <t>ORD-1172</t>
  </si>
  <si>
    <t>ORD-1088</t>
  </si>
  <si>
    <t>ORD-1175</t>
  </si>
  <si>
    <t>ORD-1074</t>
  </si>
  <si>
    <t>ORD-1232</t>
  </si>
  <si>
    <t>ORD-1159</t>
  </si>
  <si>
    <t>ORD-1053</t>
  </si>
  <si>
    <t>ORD-1051</t>
  </si>
  <si>
    <t>ORD-1055</t>
  </si>
  <si>
    <t>ORD-1161</t>
  </si>
  <si>
    <t>ORD-1141</t>
  </si>
  <si>
    <t>ORD-1188</t>
  </si>
  <si>
    <t>ORD-1182</t>
  </si>
  <si>
    <t>ORD-1080</t>
  </si>
  <si>
    <t>ORD-1220</t>
  </si>
  <si>
    <t>ORD-1140</t>
  </si>
  <si>
    <t>ORD-1242</t>
  </si>
  <si>
    <t>ORD-1215</t>
  </si>
  <si>
    <t>ORD-1076</t>
  </si>
  <si>
    <t>ORD-1131</t>
  </si>
  <si>
    <t>ORD-1191</t>
  </si>
  <si>
    <t>ORD-1226</t>
  </si>
  <si>
    <t>ORD-1179</t>
  </si>
  <si>
    <t>ORD-1154</t>
  </si>
  <si>
    <t>CLI-058</t>
  </si>
  <si>
    <t>ORD-1105</t>
  </si>
  <si>
    <t>ORD-1035</t>
  </si>
  <si>
    <t>ORD-1034</t>
  </si>
  <si>
    <t>ORD-1206</t>
  </si>
  <si>
    <t>ORD-1115</t>
  </si>
  <si>
    <t>ORD-1075</t>
  </si>
  <si>
    <t>ORD-1248</t>
  </si>
  <si>
    <t>ORD-1087</t>
  </si>
  <si>
    <t>ORD-1246</t>
  </si>
  <si>
    <t>ORD-1101</t>
  </si>
  <si>
    <t>ORD-1070</t>
  </si>
  <si>
    <t>ORD-1127</t>
  </si>
  <si>
    <t>CompanyName</t>
  </si>
  <si>
    <t>Industry</t>
  </si>
  <si>
    <t>Country</t>
  </si>
  <si>
    <t>CompanySize</t>
  </si>
  <si>
    <t>SignupDate</t>
  </si>
  <si>
    <t>AccountManager</t>
  </si>
  <si>
    <t>Email</t>
  </si>
  <si>
    <t>Wildcrest Energy</t>
  </si>
  <si>
    <t>Media &amp; Entertainment</t>
  </si>
  <si>
    <t>France</t>
  </si>
  <si>
    <t>Medium (51-500)</t>
  </si>
  <si>
    <t>13/12/2023</t>
  </si>
  <si>
    <t>Vikram Nair</t>
  </si>
  <si>
    <t>contact@wildcrestenergy.com</t>
  </si>
  <si>
    <t>Brightmind Finance Group</t>
  </si>
  <si>
    <t>Manufacturing</t>
  </si>
  <si>
    <t>Brazil</t>
  </si>
  <si>
    <t>Large (500+)</t>
  </si>
  <si>
    <t>12/06/2020</t>
  </si>
  <si>
    <t>Ananya Sharma</t>
  </si>
  <si>
    <t>contact@brightmindfinancegroup.com</t>
  </si>
  <si>
    <t>Ashford Analytics</t>
  </si>
  <si>
    <t>Energy</t>
  </si>
  <si>
    <t>Germany</t>
  </si>
  <si>
    <t>Small and Medium-Sized Business</t>
  </si>
  <si>
    <t>25/07/2023</t>
  </si>
  <si>
    <t>Nikhil Pillai</t>
  </si>
  <si>
    <t>contact@ashfordanalytics.com</t>
  </si>
  <si>
    <t>Kestrel Labs</t>
  </si>
  <si>
    <t>United Kingdom</t>
  </si>
  <si>
    <t>08/12/2023</t>
  </si>
  <si>
    <t>Ananya Verma</t>
  </si>
  <si>
    <t>contact@kestrellabs.com</t>
  </si>
  <si>
    <t>Silverline Analytics</t>
  </si>
  <si>
    <t>Insurance</t>
  </si>
  <si>
    <t>Singapore</t>
  </si>
  <si>
    <t>29/12/2022</t>
  </si>
  <si>
    <t>Rahul Pillai</t>
  </si>
  <si>
    <t>contact@silverlineanalytics.com</t>
  </si>
  <si>
    <t>Solara Systems</t>
  </si>
  <si>
    <t>Education</t>
  </si>
  <si>
    <t>03/08/2023</t>
  </si>
  <si>
    <t>contact@solarasystems.com</t>
  </si>
  <si>
    <t>Meridian Solutions</t>
  </si>
  <si>
    <t>Japan</t>
  </si>
  <si>
    <t>Small (1-50)</t>
  </si>
  <si>
    <t>14/04/2021</t>
  </si>
  <si>
    <t>Divya Reddy</t>
  </si>
  <si>
    <t>contact@meridiansolutions.com</t>
  </si>
  <si>
    <t>Thornton Labs</t>
  </si>
  <si>
    <t>08/03/2021</t>
  </si>
  <si>
    <t>Arjun Rao</t>
  </si>
  <si>
    <t>contact@thorntonlabs.com</t>
  </si>
  <si>
    <t>Wildcrest Manufacturing</t>
  </si>
  <si>
    <t>21/03/2022</t>
  </si>
  <si>
    <t>contact@wildcrestmanufacturing.com</t>
  </si>
  <si>
    <t>Halcyon Systems</t>
  </si>
  <si>
    <t>Logistics</t>
  </si>
  <si>
    <t>UK</t>
  </si>
  <si>
    <t>23/02/2023</t>
  </si>
  <si>
    <t>Arjun Reddy</t>
  </si>
  <si>
    <t>contact@halcyonsystems.com</t>
  </si>
  <si>
    <t>Pinnacle Manufacturing</t>
  </si>
  <si>
    <t>Enterprise</t>
  </si>
  <si>
    <t>28/03/2022</t>
  </si>
  <si>
    <t>contact@pinnaclemanufacturing.com</t>
  </si>
  <si>
    <t>Trailblaze Retail</t>
  </si>
  <si>
    <t>Healthcare</t>
  </si>
  <si>
    <t>12/08/2020</t>
  </si>
  <si>
    <t>Divya Pillai</t>
  </si>
  <si>
    <t>contact@trailblazeretail.com</t>
  </si>
  <si>
    <t>Silverline Systems</t>
  </si>
  <si>
    <t>27/02/2022</t>
  </si>
  <si>
    <t>Karthik Gupta</t>
  </si>
  <si>
    <t>contact@silverlinesystems.com</t>
  </si>
  <si>
    <t>Beacon Retail</t>
  </si>
  <si>
    <t>Telecom</t>
  </si>
  <si>
    <t>24/01/2020</t>
  </si>
  <si>
    <t>contact@beaconretail.com</t>
  </si>
  <si>
    <t>Ember Analytics</t>
  </si>
  <si>
    <t>05/08/2023</t>
  </si>
  <si>
    <t>contact@emberanalytics.com</t>
  </si>
  <si>
    <t>Nexora Industries</t>
  </si>
  <si>
    <t>07/01/2020</t>
  </si>
  <si>
    <t>contact@nexoraindustries.com</t>
  </si>
  <si>
    <t>Pinnacle Health</t>
  </si>
  <si>
    <t>Finance</t>
  </si>
  <si>
    <t>Australia</t>
  </si>
  <si>
    <t>04/07/2023</t>
  </si>
  <si>
    <t>Meera Choudhury</t>
  </si>
  <si>
    <t>contact@pinnaclehealth.com</t>
  </si>
  <si>
    <t>Skyline Finance Group</t>
  </si>
  <si>
    <t>09/11/2020</t>
  </si>
  <si>
    <t>contact@skylinefinancegroup.com</t>
  </si>
  <si>
    <t>CLI-019</t>
  </si>
  <si>
    <t>Granite Systems</t>
  </si>
  <si>
    <t>02/01/2020</t>
  </si>
  <si>
    <t>contact@granitesystems.com</t>
  </si>
  <si>
    <t>Northwind Retail</t>
  </si>
  <si>
    <t>Retail</t>
  </si>
  <si>
    <t>United States</t>
  </si>
  <si>
    <t>21/09/2021</t>
  </si>
  <si>
    <t>contact@northwindretail.com</t>
  </si>
  <si>
    <t>Brightmind Solutions</t>
  </si>
  <si>
    <t>07/02/2024</t>
  </si>
  <si>
    <t>Kavya Rao</t>
  </si>
  <si>
    <t>contact@brightmindsolutions.com</t>
  </si>
  <si>
    <t>Skyline Analytics</t>
  </si>
  <si>
    <t>19/09/2020</t>
  </si>
  <si>
    <t>contact@skylineanalytics.com</t>
  </si>
  <si>
    <t>Vertex Health</t>
  </si>
  <si>
    <t>27/05/2023</t>
  </si>
  <si>
    <t>contact@vertexhealth.com</t>
  </si>
  <si>
    <t>Ironclad Consulting</t>
  </si>
  <si>
    <t>31/12/2023</t>
  </si>
  <si>
    <t>contact@ironcladconsulting.com</t>
  </si>
  <si>
    <t>Aurelia Finance Group</t>
  </si>
  <si>
    <t>Canada</t>
  </si>
  <si>
    <t>13/07/2022</t>
  </si>
  <si>
    <t>contact@aureliafinancegroup.com</t>
  </si>
  <si>
    <t>Solara Solutions</t>
  </si>
  <si>
    <t>19/04/2023</t>
  </si>
  <si>
    <t>contact@solarasolutions.com</t>
  </si>
  <si>
    <t>Solara Logistics</t>
  </si>
  <si>
    <t>USA</t>
  </si>
  <si>
    <t>20/12/2023</t>
  </si>
  <si>
    <t>contact@solaralogistics.com</t>
  </si>
  <si>
    <t>Orbital Consulting</t>
  </si>
  <si>
    <t>25/05/2020</t>
  </si>
  <si>
    <t>contact@orbitalconsulting.com</t>
  </si>
  <si>
    <t>CLI-029</t>
  </si>
  <si>
    <t>Solara Industries</t>
  </si>
  <si>
    <t>27/09/2020</t>
  </si>
  <si>
    <t>contact@solaraindustries.com</t>
  </si>
  <si>
    <t>Novaline Consulting</t>
  </si>
  <si>
    <t>12/05/2021</t>
  </si>
  <si>
    <t>contact@novalineconsulting.com</t>
  </si>
  <si>
    <t>Thornton Global</t>
  </si>
  <si>
    <t>11/09/2023</t>
  </si>
  <si>
    <t>contact@thorntonglobal.com</t>
  </si>
  <si>
    <t>Zenith Global</t>
  </si>
  <si>
    <t>11/10/2023</t>
  </si>
  <si>
    <t>contact@zenithglobal.com</t>
  </si>
  <si>
    <t>Brightmind Global</t>
  </si>
  <si>
    <t>24/05/2021</t>
  </si>
  <si>
    <t>contact@brightmindglobal.com</t>
  </si>
  <si>
    <t>Ironclad Health</t>
  </si>
  <si>
    <t>10/01/2021</t>
  </si>
  <si>
    <t>contact@ironcladhealth.com</t>
  </si>
  <si>
    <t>Halcyon Solutions</t>
  </si>
  <si>
    <t>19/07/2020</t>
  </si>
  <si>
    <t>contact@halcyonsolutions.com</t>
  </si>
  <si>
    <t>Silverline Health</t>
  </si>
  <si>
    <t>06/12/2020</t>
  </si>
  <si>
    <t>contact@silverlinehealth.com</t>
  </si>
  <si>
    <t>Vertex Retail</t>
  </si>
  <si>
    <t>30/04/2020</t>
  </si>
  <si>
    <t>contact@vertexretail.com</t>
  </si>
  <si>
    <t>Aurelia Technologies</t>
  </si>
  <si>
    <t>07/08/2021</t>
  </si>
  <si>
    <t>contact@aureliatechnologies.com</t>
  </si>
  <si>
    <t>Bluewave Manufacturing</t>
  </si>
  <si>
    <t>13/11/2020</t>
  </si>
  <si>
    <t>contact@bluewavemanufacturing.com</t>
  </si>
  <si>
    <t>CLI-040</t>
  </si>
  <si>
    <t>Cobalt Solutions</t>
  </si>
  <si>
    <t>04/05/2020</t>
  </si>
  <si>
    <t>contact@cobaltsolutions.com</t>
  </si>
  <si>
    <t>Northwind Technologies</t>
  </si>
  <si>
    <t>26/10/2022</t>
  </si>
  <si>
    <t>contact@northwindtechnologies.com</t>
  </si>
  <si>
    <t>Kestrel Technologies</t>
  </si>
  <si>
    <t>20/05/2020</t>
  </si>
  <si>
    <t>contact@kestreltechnologies.com</t>
  </si>
  <si>
    <t>Orbital Finance Group</t>
  </si>
  <si>
    <t>12/03/2023</t>
  </si>
  <si>
    <t>contact@orbitalfinancegroup.com</t>
  </si>
  <si>
    <t>Cascade Logistics</t>
  </si>
  <si>
    <t>08/05/2022</t>
  </si>
  <si>
    <t>contact@cascadelogistics.com</t>
  </si>
  <si>
    <t>Trailblaze Labs</t>
  </si>
  <si>
    <t>03/05/2021</t>
  </si>
  <si>
    <t>contact@trailblazelabs.com</t>
  </si>
  <si>
    <t>Aurelia Systems</t>
  </si>
  <si>
    <t>28/05/2020</t>
  </si>
  <si>
    <t>contact@aureliasystems.com</t>
  </si>
  <si>
    <t>Halcyon Logistics</t>
  </si>
  <si>
    <t>06/01/2023</t>
  </si>
  <si>
    <t>contact@halcyonlogistics.com</t>
  </si>
  <si>
    <t>Trailblaze Industries</t>
  </si>
  <si>
    <t>15/05/2021</t>
  </si>
  <si>
    <t>contact@trailblazeindustries.com</t>
  </si>
  <si>
    <t>Cobalt Systems</t>
  </si>
  <si>
    <t>11/12/2023</t>
  </si>
  <si>
    <t>contact@cobaltsystems.com</t>
  </si>
  <si>
    <t>Beacon Media</t>
  </si>
  <si>
    <t>05/09/2021</t>
  </si>
  <si>
    <t>contact@beaconmedia.com</t>
  </si>
  <si>
    <t>Nexora Consulting</t>
  </si>
  <si>
    <t>07/08/2020</t>
  </si>
  <si>
    <t>contact@nexoraconsulting.com</t>
  </si>
  <si>
    <t>Meridian Systems</t>
  </si>
  <si>
    <t>07/03/2021</t>
  </si>
  <si>
    <t>contact@meridiansystems.com</t>
  </si>
  <si>
    <t>Northwind Solutions</t>
  </si>
  <si>
    <t>29/05/2021</t>
  </si>
  <si>
    <t>contact@northwindsolutions.com</t>
  </si>
  <si>
    <t>Fenwick Energy</t>
  </si>
  <si>
    <t>14/11/2021</t>
  </si>
  <si>
    <t>contact@fenwickenergy.com</t>
  </si>
  <si>
    <t>Silverline Industries</t>
  </si>
  <si>
    <t>UAE</t>
  </si>
  <si>
    <t>03/02/2023</t>
  </si>
  <si>
    <t>contact@silverlineindustries.com</t>
  </si>
  <si>
    <t>Fenwick Health</t>
  </si>
  <si>
    <t>16/11/2023</t>
  </si>
  <si>
    <t>contact@fenwickhealth.com</t>
  </si>
  <si>
    <t>Meridian Technologies</t>
  </si>
  <si>
    <t>30/10/2020</t>
  </si>
  <si>
    <t>contact@meridiantechnologies.com</t>
  </si>
  <si>
    <t>Lumen Technologies</t>
  </si>
  <si>
    <t>02/01/2022</t>
  </si>
  <si>
    <t>contact@lumentechnologies.com</t>
  </si>
  <si>
    <t>Redshift Solutions</t>
  </si>
  <si>
    <t>12/04/2022</t>
  </si>
  <si>
    <t>contact@redshiftsolutions.com</t>
  </si>
  <si>
    <t>Ember Systems</t>
  </si>
  <si>
    <t>28/12/2020</t>
  </si>
  <si>
    <t>contact@embersystems.com</t>
  </si>
  <si>
    <t>ProductName</t>
  </si>
  <si>
    <t>Category</t>
  </si>
  <si>
    <t>LaunchDate</t>
  </si>
  <si>
    <t>PriceTier</t>
  </si>
  <si>
    <t>ListPrice_USD</t>
  </si>
  <si>
    <t>AI Sales Copilot</t>
  </si>
  <si>
    <t>Sales AI</t>
  </si>
  <si>
    <t>Premium</t>
  </si>
  <si>
    <t>Predictive Lead Scoring</t>
  </si>
  <si>
    <t>Standard</t>
  </si>
  <si>
    <t>Chatbot Suite Pro</t>
  </si>
  <si>
    <t>Conversational AI</t>
  </si>
  <si>
    <t>Chatbot Suite Lite</t>
  </si>
  <si>
    <t>Basic</t>
  </si>
  <si>
    <t>Document Intelligence</t>
  </si>
  <si>
    <t>Data AI</t>
  </si>
  <si>
    <t>Customer Churn Predictor</t>
  </si>
  <si>
    <t>Analytics AI</t>
  </si>
  <si>
    <t>Demand Forecasting Engine</t>
  </si>
  <si>
    <t>Vision QC Inspector</t>
  </si>
  <si>
    <t>Computer Vision</t>
  </si>
  <si>
    <t>HR Resume Screener</t>
  </si>
  <si>
    <t>HR AI</t>
  </si>
  <si>
    <t>Fraud Detection Shield</t>
  </si>
  <si>
    <t>Security AI</t>
  </si>
  <si>
    <t>Marketing Content Generator</t>
  </si>
  <si>
    <t>Generative AI</t>
  </si>
  <si>
    <t>Voice Analytics Suite</t>
  </si>
  <si>
    <t>RepID</t>
  </si>
  <si>
    <t>RepName</t>
  </si>
  <si>
    <t>Team</t>
  </si>
  <si>
    <t>HireDate</t>
  </si>
  <si>
    <t>divya.reddy@neuracore.ai</t>
  </si>
  <si>
    <t>vikram.nair@neuracore.ai</t>
  </si>
  <si>
    <t>divya.pillai@neuracore.ai</t>
  </si>
  <si>
    <t>ananya.sharma@neuracore.ai</t>
  </si>
  <si>
    <t>meera.choudhury@neuracore.ai</t>
  </si>
  <si>
    <t>nikhil.pillai@neuracore.ai</t>
  </si>
  <si>
    <t>karthik.gupta@neuracore.ai</t>
  </si>
  <si>
    <t>kavya.rao@neuracore.ai</t>
  </si>
  <si>
    <t>Mid-Market</t>
  </si>
  <si>
    <t>arjun.reddy@neuracore.ai</t>
  </si>
  <si>
    <t>arjun.rao@neuracore.ai</t>
  </si>
  <si>
    <t>ananya.verma@neuracore.ai</t>
  </si>
  <si>
    <t>rahul.pillai@neuracore.ai</t>
  </si>
  <si>
    <t>TicketID</t>
  </si>
  <si>
    <t>DateRaised</t>
  </si>
  <si>
    <t>IssueType</t>
  </si>
  <si>
    <t>ResolutionTime_Hrs</t>
  </si>
  <si>
    <t>SatisfactionScore</t>
  </si>
  <si>
    <t>Status</t>
  </si>
  <si>
    <t>TKT-0001</t>
  </si>
  <si>
    <t>Feature Request</t>
  </si>
  <si>
    <t>Escalated</t>
  </si>
  <si>
    <t>TKT-0002</t>
  </si>
  <si>
    <t>Billing Query</t>
  </si>
  <si>
    <t>TKT-0003</t>
  </si>
  <si>
    <t>API Error</t>
  </si>
  <si>
    <t>TKT-0004</t>
  </si>
  <si>
    <t>TKT-0005</t>
  </si>
  <si>
    <t>Open</t>
  </si>
  <si>
    <t>TKT-0006</t>
  </si>
  <si>
    <t>Onboarding Help</t>
  </si>
  <si>
    <t>TKT-0007</t>
  </si>
  <si>
    <t>Closed</t>
  </si>
  <si>
    <t>TKT-0008</t>
  </si>
  <si>
    <t>TKT-0009</t>
  </si>
  <si>
    <t>Data Sync Error</t>
  </si>
  <si>
    <t>TKT-0010</t>
  </si>
  <si>
    <t>TKT-0011</t>
  </si>
  <si>
    <t>TKT-0012</t>
  </si>
  <si>
    <t>TKT-0013</t>
  </si>
  <si>
    <t>TKT-0014</t>
  </si>
  <si>
    <t>Login Issue</t>
  </si>
  <si>
    <t>TKT-0015</t>
  </si>
  <si>
    <t>TKT-0016</t>
  </si>
  <si>
    <t>TKT-0017</t>
  </si>
  <si>
    <t>TKT-0018</t>
  </si>
  <si>
    <t>Bug Report</t>
  </si>
  <si>
    <t>TKT-0019</t>
  </si>
  <si>
    <t>TKT-0020</t>
  </si>
  <si>
    <t>TKT-0021</t>
  </si>
  <si>
    <t>TKT-0022</t>
  </si>
  <si>
    <t>Integration Help</t>
  </si>
  <si>
    <t>TKT-0023</t>
  </si>
  <si>
    <t>TKT-0024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</si>
  <si>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</si>
  <si>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</si>
  <si>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</si>
  <si>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</si>
  <si>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</si>
  <si>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</si>
  <si>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</si>
  <si>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</si>
  <si>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</si>
  <si>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</si>
  <si>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</si>
  <si>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</si>
  <si>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</si>
  <si>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</si>
  <si>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</si>
  <si>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</si>
  <si>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</si>
  <si>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</si>
  <si>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</si>
  <si>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</si>
  <si>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</si>
  <si>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</si>
  <si>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</si>
  <si>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</si>
  <si>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</si>
  <si>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</si>
  <si>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</si>
  <si>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</si>
  <si>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</si>
  <si>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</si>
  <si>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</si>
  <si>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Performance Issue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</si>
  <si>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</si>
  <si>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</si>
  <si>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</si>
  <si>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</si>
  <si>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</si>
  <si>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</si>
  <si>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</si>
  <si>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</si>
  <si>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</si>
  <si>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</si>
  <si>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</si>
  <si>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</si>
  <si>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</si>
  <si>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</si>
  <si>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</si>
  <si>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</si>
  <si>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</si>
  <si>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</si>
  <si>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</si>
  <si>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</si>
  <si>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</si>
  <si>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</si>
  <si>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</si>
  <si>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</si>
  <si>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</si>
  <si>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</si>
  <si>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</si>
  <si>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</si>
  <si>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</si>
  <si>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TKT-0085</t>
  </si>
  <si>
    <t>TKT-0086</t>
  </si>
  <si>
    <t>TKT-0087</t>
  </si>
  <si>
    <t>TKT-0088</t>
  </si>
  <si>
    <t>TKT-0089</t>
  </si>
  <si>
    <t>TKT-0090</t>
  </si>
  <si>
    <t>TKT-0091</t>
  </si>
  <si>
    <t>CLI-999</t>
  </si>
  <si>
    <t>TKT-0092</t>
  </si>
  <si>
    <t>CLI-998</t>
  </si>
  <si>
    <t>Total revenue by region, by product category, and by sales rep.</t>
  </si>
  <si>
    <t>Sum of Revenue</t>
  </si>
  <si>
    <t>Grand Total</t>
  </si>
  <si>
    <t>Top 10 clients by total revenue</t>
  </si>
  <si>
    <t>Month-over-month revenue trend for the full period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</si>
  <si>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</si>
  <si>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</si>
  <si>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</si>
  <si>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</si>
  <si>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</si>
  <si>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</si>
  <si>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</si>
  <si>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</si>
  <si>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</si>
  <si>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</si>
  <si>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</si>
  <si>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</si>
  <si>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</si>
  <si>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 rate by sales rep and by team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</si>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</sst>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_);_(* \(#,##0\);_(* &quot;-&quot;??_);_(@_)"/>
    <numFmt numFmtId="166" formatCode="[$-F800]dddd\,\ mmmm\ dd\,\ yyyy"/>
    <numFmt numFmtId="167" formatCode="[$-409]d\-mmm\-yy;@"/>
    <numFmt numFmtId="168" formatCode="m/d/yy;@"/>
  </numFmts>
  <fonts count="1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36"/>
      <color theme="1"/>
      <name val="STKaiti"/>
    </font>
    <font>
      <b/>
      <sz val="20"/>
      <color theme="1"/>
      <name val="STKait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theme="1"/>
      <name val="Arial"/>
    </font>
    <font>
      <sz val="20"/>
      <color theme="1"/>
      <name val="Cambria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C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2" fillId="3" borderId="0" xfId="0" applyFont="1" applyFill="1"/>
    <xf numFmtId="164" fontId="2" fillId="0" borderId="0" xfId="0" applyNumberFormat="1" applyFont="1"/>
    <xf numFmtId="164" fontId="2" fillId="3" borderId="0" xfId="0" applyNumberFormat="1" applyFont="1" applyFill="1"/>
    <xf numFmtId="1" fontId="2" fillId="0" borderId="0" xfId="0" applyNumberFormat="1" applyFont="1"/>
    <xf numFmtId="1" fontId="2" fillId="3" borderId="0" xfId="0" applyNumberFormat="1" applyFont="1" applyFill="1"/>
    <xf numFmtId="1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65" fontId="2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Border="1" applyAlignment="1"/>
    <xf numFmtId="0" fontId="2" fillId="0" borderId="0" xfId="0" applyFont="1" applyBorder="1" applyAlignment="1"/>
    <xf numFmtId="0" fontId="5" fillId="5" borderId="1" xfId="0" applyFont="1" applyFill="1" applyBorder="1" applyAlignment="1"/>
    <xf numFmtId="0" fontId="6" fillId="6" borderId="1" xfId="0" applyFont="1" applyFill="1" applyBorder="1" applyAlignment="1"/>
    <xf numFmtId="0" fontId="0" fillId="3" borderId="1" xfId="0" applyFill="1" applyBorder="1"/>
    <xf numFmtId="0" fontId="6" fillId="6" borderId="2" xfId="0" applyFont="1" applyFill="1" applyBorder="1" applyAlignment="1"/>
    <xf numFmtId="0" fontId="8" fillId="7" borderId="2" xfId="0" applyFont="1" applyFill="1" applyBorder="1" applyAlignment="1">
      <alignment horizontal="center"/>
    </xf>
    <xf numFmtId="0" fontId="0" fillId="0" borderId="3" xfId="0" applyBorder="1"/>
    <xf numFmtId="0" fontId="5" fillId="5" borderId="4" xfId="0" applyFont="1" applyFill="1" applyBorder="1" applyAlignment="1"/>
    <xf numFmtId="0" fontId="7" fillId="6" borderId="4" xfId="0" applyFont="1" applyFill="1" applyBorder="1" applyAlignment="1"/>
    <xf numFmtId="0" fontId="7" fillId="6" borderId="5" xfId="0" applyFont="1" applyFill="1" applyBorder="1" applyAlignment="1"/>
    <xf numFmtId="0" fontId="0" fillId="3" borderId="4" xfId="0" applyFill="1" applyBorder="1"/>
    <xf numFmtId="0" fontId="0" fillId="8" borderId="1" xfId="0" applyFill="1" applyBorder="1"/>
    <xf numFmtId="0" fontId="9" fillId="9" borderId="0" xfId="0" applyFont="1" applyFill="1" applyAlignment="1">
      <alignment horizontal="left" vertical="center"/>
    </xf>
    <xf numFmtId="0" fontId="9" fillId="9" borderId="0" xfId="0" applyFont="1" applyFill="1"/>
    <xf numFmtId="1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NumberFormat="1" applyFont="1"/>
    <xf numFmtId="168" fontId="2" fillId="0" borderId="0" xfId="0" applyNumberFormat="1" applyFont="1"/>
    <xf numFmtId="0" fontId="1" fillId="2" borderId="0" xfId="0" applyFont="1" applyFill="1" applyAlignment="1">
      <alignment horizontal="left"/>
    </xf>
    <xf numFmtId="10" fontId="2" fillId="0" borderId="0" xfId="0" applyNumberFormat="1" applyFont="1"/>
    <xf numFmtId="0" fontId="2" fillId="0" borderId="1" xfId="0" applyFont="1" applyBorder="1" applyAlignment="1"/>
    <xf numFmtId="10" fontId="2" fillId="0" borderId="1" xfId="0" applyNumberFormat="1" applyFont="1" applyBorder="1" applyAlignment="1"/>
    <xf numFmtId="0" fontId="0" fillId="10" borderId="0" xfId="0" applyFill="1"/>
    <xf numFmtId="0" fontId="8" fillId="11" borderId="1" xfId="0" applyFont="1" applyFill="1" applyBorder="1" applyAlignment="1"/>
    <xf numFmtId="0" fontId="9" fillId="10" borderId="0" xfId="0" applyFont="1" applyFill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theme="9"/>
        </patternFill>
      </fill>
    </dxf>
  </dxfs>
  <tableStyles count="0" defaultTableStyle="TableStyleMedium9" defaultPivotStyle="PivotStyleLight16"/>
  <colors>
    <mruColors>
      <color rgb="FF8C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Mincho"/>
                <a:ea typeface="MS Mincho"/>
                <a:cs typeface="MS Mincho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S Mincho"/>
              <a:ea typeface="MS Mincho"/>
              <a:cs typeface="MS Mincho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504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Sheet3!$G$6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Sheet3!$F$7:$F$19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Sheet3!$G$7:$G$19</c:f>
              <c:numCache>
                <c:formatCode>General</c:formatCode>
                <c:ptCount val="12"/>
                <c:pt idx="0">
                  <c:v>113167.5</c:v>
                </c:pt>
                <c:pt idx="1">
                  <c:v>33535</c:v>
                </c:pt>
                <c:pt idx="2">
                  <c:v>40795</c:v>
                </c:pt>
                <c:pt idx="3">
                  <c:v>25260</c:v>
                </c:pt>
                <c:pt idx="4">
                  <c:v>40050</c:v>
                </c:pt>
                <c:pt idx="5">
                  <c:v>25700</c:v>
                </c:pt>
                <c:pt idx="6">
                  <c:v>55005</c:v>
                </c:pt>
                <c:pt idx="7">
                  <c:v>18882.5</c:v>
                </c:pt>
                <c:pt idx="8">
                  <c:v>89970</c:v>
                </c:pt>
                <c:pt idx="9">
                  <c:v>10450</c:v>
                </c:pt>
                <c:pt idx="10">
                  <c:v>29435</c:v>
                </c:pt>
                <c:pt idx="11">
                  <c:v>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6-4611-8855-EEE1DA74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283591"/>
        <c:axId val="2009289735"/>
      </c:lineChart>
      <c:catAx>
        <c:axId val="200928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/>
                <a:ea typeface="Bookman Old Style"/>
                <a:cs typeface="Bookman Old Style"/>
              </a:defRPr>
            </a:pPr>
            <a:endParaRPr lang="en-US"/>
          </a:p>
        </c:txPr>
        <c:crossAx val="2009289735"/>
        <c:crosses val="autoZero"/>
        <c:auto val="1"/>
        <c:lblAlgn val="ctr"/>
        <c:lblOffset val="100"/>
        <c:noMultiLvlLbl val="0"/>
      </c:catAx>
      <c:valAx>
        <c:axId val="200928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8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352425</xdr:colOff>
      <xdr:row>4</xdr:row>
      <xdr:rowOff>0</xdr:rowOff>
    </xdr:from>
    <xdr:to>
      <xdr:col>20</xdr:col>
      <xdr:colOff>695325</xdr:colOff>
      <xdr:row>17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AB5FE205-E1F5-8AD0-1C5A-1514D162B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82900" y="1819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</xdr:row>
      <xdr:rowOff>123825</xdr:rowOff>
    </xdr:from>
    <xdr:to>
      <xdr:col>24</xdr:col>
      <xdr:colOff>390525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907FD-014D-DCAC-7198-94A536E77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462047106485" createdVersion="8" refreshedVersion="8" minRefreshableVersion="3" recordCount="250" xr:uid="{9E58AEC8-70A3-4A88-B7FF-EB6A176FD312}">
  <cacheSource type="worksheet">
    <worksheetSource ref="B4:F253" sheet="Sheet1"/>
  </cacheSource>
  <cacheFields count="5">
    <cacheField name="ProductID" numFmtId="0">
      <sharedItems/>
    </cacheField>
    <cacheField name="Category" numFmtId="0">
      <sharedItems count="8">
        <s v="Analytics AI"/>
        <s v="Conversational AI"/>
        <s v="Sales AI"/>
        <s v="Security AI"/>
        <s v="Data AI"/>
        <s v="Computer Vision"/>
        <s v="Generative AI"/>
        <s v="HR AI"/>
      </sharedItems>
    </cacheField>
    <cacheField name="RepID" numFmtId="0">
      <sharedItems count="8">
        <s v="REP-07"/>
        <s v="REP-04"/>
        <s v="REP-01"/>
        <s v="REP-02"/>
        <s v="REP-03"/>
        <s v="REP-12"/>
        <s v="REP-09"/>
        <s v="REP-11"/>
      </sharedItems>
    </cacheField>
    <cacheField name="Revenue" numFmtId="164">
      <sharedItems containsMixedTypes="1" containsNumber="1" minValue="-1900" maxValue="22000"/>
    </cacheField>
    <cacheField name="Region" numFmtId="0">
      <sharedItems count="6">
        <s v="Asia-Pacific"/>
        <s v="North America"/>
        <s v="N/A"/>
        <s v="India"/>
        <s v="Europe"/>
        <s v="Middle East and Africa"/>
      </sharedItems>
    </cacheField>
  </cacheFields>
  <extLst>
    <ext xmlns:x14="http://schemas.microsoft.com/office/spreadsheetml/2009/9/main" uri="{725AE2AE-9491-48be-B2B4-4EB974FC3084}">
      <x14:pivotCacheDefinition pivotCacheId="1922099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827796527781" createdVersion="8" refreshedVersion="8" minRefreshableVersion="3" recordCount="250" xr:uid="{CECC37C0-947E-4766-995D-DB7F3B30FE56}">
  <cacheSource type="worksheet">
    <worksheetSource ref="B4:D254" sheet="Sheet3"/>
  </cacheSource>
  <cacheFields count="3">
    <cacheField name="OrderDate" numFmtId="14">
      <sharedItems containsSemiMixedTypes="0" containsNonDate="0" containsDate="1" containsString="0" minDate="2023-01-02T00:00:00" maxDate="2024-12-03T00:00:00"/>
    </cacheField>
    <cacheField name="Month" numFmtId="14">
      <sharedItems count="12">
        <s v="January"/>
        <s v="April"/>
        <s v="August"/>
        <s v="September"/>
        <s v="May"/>
        <s v="July"/>
        <s v="March"/>
        <s v="October"/>
        <s v="December"/>
        <s v="June"/>
        <s v="November"/>
        <s v="February"/>
      </sharedItems>
    </cacheField>
    <cacheField name="Revenue" numFmtId="0">
      <sharedItems containsMixedTypes="1" containsNumber="1" minValue="-19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PRD-07"/>
    <x v="0"/>
    <x v="0"/>
    <s v="N/A"/>
    <x v="0"/>
  </r>
  <r>
    <s v="PRD-04"/>
    <x v="1"/>
    <x v="1"/>
    <n v="640"/>
    <x v="1"/>
  </r>
  <r>
    <s v="PRD-02"/>
    <x v="2"/>
    <x v="1"/>
    <s v="N/A"/>
    <x v="2"/>
  </r>
  <r>
    <s v="PRD-12"/>
    <x v="1"/>
    <x v="2"/>
    <n v="0"/>
    <x v="2"/>
  </r>
  <r>
    <s v="PRD-03"/>
    <x v="1"/>
    <x v="3"/>
    <n v="2850"/>
    <x v="0"/>
  </r>
  <r>
    <s v="PRD-12"/>
    <x v="1"/>
    <x v="2"/>
    <n v="5225"/>
    <x v="2"/>
  </r>
  <r>
    <s v="PRD-10"/>
    <x v="3"/>
    <x v="4"/>
    <n v="5415"/>
    <x v="3"/>
  </r>
  <r>
    <s v="PRD-05"/>
    <x v="4"/>
    <x v="5"/>
    <s v="N/A"/>
    <x v="3"/>
  </r>
  <r>
    <s v="PRD-10"/>
    <x v="3"/>
    <x v="4"/>
    <n v="16150"/>
    <x v="4"/>
  </r>
  <r>
    <s v="PRD-08"/>
    <x v="5"/>
    <x v="4"/>
    <s v="N/A"/>
    <x v="3"/>
  </r>
  <r>
    <s v="PRD-12"/>
    <x v="1"/>
    <x v="2"/>
    <n v="4180"/>
    <x v="1"/>
  </r>
  <r>
    <s v="PRD-01"/>
    <x v="2"/>
    <x v="6"/>
    <n v="3420"/>
    <x v="0"/>
  </r>
  <r>
    <s v="PRD-11"/>
    <x v="6"/>
    <x v="7"/>
    <n v="1900"/>
    <x v="2"/>
  </r>
  <r>
    <s v="PRD-02"/>
    <x v="2"/>
    <x v="1"/>
    <s v="N/A"/>
    <x v="1"/>
  </r>
  <r>
    <s v="PRD-06"/>
    <x v="0"/>
    <x v="7"/>
    <n v="950"/>
    <x v="2"/>
  </r>
  <r>
    <s v="PRD-06"/>
    <x v="0"/>
    <x v="7"/>
    <n v="4512.5"/>
    <x v="4"/>
  </r>
  <r>
    <s v="PRD-11"/>
    <x v="6"/>
    <x v="7"/>
    <s v="N/A"/>
    <x v="3"/>
  </r>
  <r>
    <s v="PRD-12"/>
    <x v="1"/>
    <x v="2"/>
    <n v="3300"/>
    <x v="1"/>
  </r>
  <r>
    <s v="PRD-09"/>
    <x v="7"/>
    <x v="6"/>
    <s v="N/A"/>
    <x v="3"/>
  </r>
  <r>
    <s v="PRD-12"/>
    <x v="1"/>
    <x v="2"/>
    <s v="N/A"/>
    <x v="3"/>
  </r>
  <r>
    <s v="PRD-11"/>
    <x v="6"/>
    <x v="7"/>
    <n v="-450"/>
    <x v="2"/>
  </r>
  <r>
    <s v="PRD-11"/>
    <x v="6"/>
    <x v="7"/>
    <n v="0"/>
    <x v="5"/>
  </r>
  <r>
    <s v="PRD-10"/>
    <x v="3"/>
    <x v="4"/>
    <n v="1900"/>
    <x v="1"/>
  </r>
  <r>
    <s v="PRD-09"/>
    <x v="7"/>
    <x v="6"/>
    <n v="1190"/>
    <x v="1"/>
  </r>
  <r>
    <s v="PRD-08"/>
    <x v="5"/>
    <x v="4"/>
    <n v="3960"/>
    <x v="1"/>
  </r>
  <r>
    <s v="PRD-06"/>
    <x v="0"/>
    <x v="7"/>
    <s v="N/A"/>
    <x v="5"/>
  </r>
  <r>
    <s v="PRD-07"/>
    <x v="0"/>
    <x v="0"/>
    <s v="N/A"/>
    <x v="4"/>
  </r>
  <r>
    <s v="PRD-11"/>
    <x v="6"/>
    <x v="7"/>
    <n v="1700"/>
    <x v="2"/>
  </r>
  <r>
    <s v="PRD-05"/>
    <x v="4"/>
    <x v="5"/>
    <s v="N/A"/>
    <x v="4"/>
  </r>
  <r>
    <s v="PRD-09"/>
    <x v="7"/>
    <x v="6"/>
    <n v="2800"/>
    <x v="0"/>
  </r>
  <r>
    <s v="PRD-06"/>
    <x v="0"/>
    <x v="7"/>
    <s v="N/A"/>
    <x v="3"/>
  </r>
  <r>
    <s v="PRD-09"/>
    <x v="7"/>
    <x v="6"/>
    <s v="N/A"/>
    <x v="1"/>
  </r>
  <r>
    <s v="PRD-08"/>
    <x v="5"/>
    <x v="4"/>
    <s v="N/A"/>
    <x v="1"/>
  </r>
  <r>
    <s v="PRD-02"/>
    <x v="2"/>
    <x v="1"/>
    <n v="3200"/>
    <x v="0"/>
  </r>
  <r>
    <s v="PRD-11"/>
    <x v="6"/>
    <x v="7"/>
    <n v="4000"/>
    <x v="4"/>
  </r>
  <r>
    <s v="PRD-12"/>
    <x v="1"/>
    <x v="2"/>
    <s v="N/A"/>
    <x v="0"/>
  </r>
  <r>
    <s v="PRD-09"/>
    <x v="7"/>
    <x v="6"/>
    <s v="N/A"/>
    <x v="2"/>
  </r>
  <r>
    <s v="PRD-12"/>
    <x v="1"/>
    <x v="2"/>
    <n v="-990"/>
    <x v="4"/>
  </r>
  <r>
    <s v="PRD-10"/>
    <x v="3"/>
    <x v="4"/>
    <s v="N/A"/>
    <x v="4"/>
  </r>
  <r>
    <s v="PRD-06"/>
    <x v="0"/>
    <x v="7"/>
    <s v="N/A"/>
    <x v="2"/>
  </r>
  <r>
    <s v="PRD-03"/>
    <x v="1"/>
    <x v="3"/>
    <s v="N/A"/>
    <x v="3"/>
  </r>
  <r>
    <s v="PRD-06"/>
    <x v="0"/>
    <x v="7"/>
    <s v="N/A"/>
    <x v="1"/>
  </r>
  <r>
    <s v="PRD-05"/>
    <x v="4"/>
    <x v="5"/>
    <n v="4000"/>
    <x v="5"/>
  </r>
  <r>
    <s v="PRD-08"/>
    <x v="5"/>
    <x v="4"/>
    <s v="N/A"/>
    <x v="1"/>
  </r>
  <r>
    <s v="PRD-11"/>
    <x v="6"/>
    <x v="7"/>
    <n v="0"/>
    <x v="0"/>
  </r>
  <r>
    <s v="PRD-11"/>
    <x v="6"/>
    <x v="7"/>
    <s v="N/A"/>
    <x v="0"/>
  </r>
  <r>
    <s v="PRD-01"/>
    <x v="2"/>
    <x v="6"/>
    <n v="4080"/>
    <x v="0"/>
  </r>
  <r>
    <s v="PRD-02"/>
    <x v="2"/>
    <x v="1"/>
    <n v="2280"/>
    <x v="1"/>
  </r>
  <r>
    <s v="PRD-03"/>
    <x v="1"/>
    <x v="3"/>
    <s v="N/A"/>
    <x v="4"/>
  </r>
  <r>
    <s v="PRD-06"/>
    <x v="0"/>
    <x v="7"/>
    <s v="N/A"/>
    <x v="4"/>
  </r>
  <r>
    <s v="PRD-02"/>
    <x v="2"/>
    <x v="1"/>
    <n v="4000"/>
    <x v="4"/>
  </r>
  <r>
    <s v="PRD-03"/>
    <x v="1"/>
    <x v="3"/>
    <n v="5100"/>
    <x v="4"/>
  </r>
  <r>
    <s v="PRD-08"/>
    <x v="5"/>
    <x v="4"/>
    <n v="1870"/>
    <x v="1"/>
  </r>
  <r>
    <s v="PRD-04"/>
    <x v="1"/>
    <x v="1"/>
    <s v="N/A"/>
    <x v="5"/>
  </r>
  <r>
    <s v="PRD-01"/>
    <x v="2"/>
    <x v="6"/>
    <n v="3840"/>
    <x v="2"/>
  </r>
  <r>
    <s v="PRD-02"/>
    <x v="2"/>
    <x v="1"/>
    <s v="N/A"/>
    <x v="4"/>
  </r>
  <r>
    <s v="PRD-05"/>
    <x v="4"/>
    <x v="5"/>
    <n v="4800"/>
    <x v="4"/>
  </r>
  <r>
    <s v="PRD-08"/>
    <x v="5"/>
    <x v="4"/>
    <s v="N/A"/>
    <x v="1"/>
  </r>
  <r>
    <s v="PRD-08"/>
    <x v="5"/>
    <x v="4"/>
    <s v="N/A"/>
    <x v="2"/>
  </r>
  <r>
    <s v="PRD-10"/>
    <x v="3"/>
    <x v="4"/>
    <n v="6840"/>
    <x v="0"/>
  </r>
  <r>
    <s v="PRD-05"/>
    <x v="4"/>
    <x v="5"/>
    <n v="4800"/>
    <x v="0"/>
  </r>
  <r>
    <s v="PRD-07"/>
    <x v="0"/>
    <x v="0"/>
    <n v="1575"/>
    <x v="1"/>
  </r>
  <r>
    <s v="PRD-08"/>
    <x v="5"/>
    <x v="4"/>
    <n v="6600"/>
    <x v="0"/>
  </r>
  <r>
    <s v="PRD-05"/>
    <x v="4"/>
    <x v="5"/>
    <s v="N/A"/>
    <x v="3"/>
  </r>
  <r>
    <s v="PRD-11"/>
    <x v="6"/>
    <x v="7"/>
    <n v="850"/>
    <x v="1"/>
  </r>
  <r>
    <s v="PRD-01"/>
    <x v="2"/>
    <x v="6"/>
    <s v="N/A"/>
    <x v="2"/>
  </r>
  <r>
    <s v="PRD-07"/>
    <x v="0"/>
    <x v="0"/>
    <n v="4725"/>
    <x v="1"/>
  </r>
  <r>
    <s v="PRD-06"/>
    <x v="0"/>
    <x v="7"/>
    <s v="N/A"/>
    <x v="5"/>
  </r>
  <r>
    <s v="PRD-09"/>
    <x v="7"/>
    <x v="6"/>
    <n v="1785"/>
    <x v="1"/>
  </r>
  <r>
    <s v="PRD-11"/>
    <x v="6"/>
    <x v="7"/>
    <s v="N/A"/>
    <x v="1"/>
  </r>
  <r>
    <s v="PRD-05"/>
    <x v="4"/>
    <x v="5"/>
    <s v="N/A"/>
    <x v="1"/>
  </r>
  <r>
    <s v="PRD-07"/>
    <x v="0"/>
    <x v="0"/>
    <n v="2975"/>
    <x v="3"/>
  </r>
  <r>
    <s v="PRD-07"/>
    <x v="0"/>
    <x v="0"/>
    <n v="2975"/>
    <x v="4"/>
  </r>
  <r>
    <s v="PRD-04"/>
    <x v="1"/>
    <x v="1"/>
    <s v="N/A"/>
    <x v="3"/>
  </r>
  <r>
    <s v="PRD-04"/>
    <x v="1"/>
    <x v="1"/>
    <n v="1800"/>
    <x v="5"/>
  </r>
  <r>
    <s v="PRD-12"/>
    <x v="1"/>
    <x v="2"/>
    <n v="2640"/>
    <x v="1"/>
  </r>
  <r>
    <s v="PRD-07"/>
    <x v="0"/>
    <x v="0"/>
    <s v="N/A"/>
    <x v="1"/>
  </r>
  <r>
    <s v="PRD-07"/>
    <x v="0"/>
    <x v="0"/>
    <s v="N/A"/>
    <x v="2"/>
  </r>
  <r>
    <s v="PRD-01"/>
    <x v="2"/>
    <x v="6"/>
    <n v="4080"/>
    <x v="5"/>
  </r>
  <r>
    <s v="PRD-07"/>
    <x v="0"/>
    <x v="0"/>
    <s v="N/A"/>
    <x v="4"/>
  </r>
  <r>
    <s v="PRD-01"/>
    <x v="2"/>
    <x v="6"/>
    <n v="1080"/>
    <x v="1"/>
  </r>
  <r>
    <s v="PRD-08"/>
    <x v="5"/>
    <x v="4"/>
    <n v="8800"/>
    <x v="5"/>
  </r>
  <r>
    <s v="PRD-10"/>
    <x v="3"/>
    <x v="4"/>
    <s v="N/A"/>
    <x v="2"/>
  </r>
  <r>
    <s v="PRD-01"/>
    <x v="2"/>
    <x v="6"/>
    <n v="3600"/>
    <x v="1"/>
  </r>
  <r>
    <s v="PRD-02"/>
    <x v="2"/>
    <x v="1"/>
    <n v="6800"/>
    <x v="1"/>
  </r>
  <r>
    <s v="PRD-05"/>
    <x v="4"/>
    <x v="5"/>
    <s v="N/A"/>
    <x v="3"/>
  </r>
  <r>
    <s v="PRD-09"/>
    <x v="7"/>
    <x v="6"/>
    <s v="N/A"/>
    <x v="3"/>
  </r>
  <r>
    <s v="PRD-10"/>
    <x v="3"/>
    <x v="4"/>
    <s v="N/A"/>
    <x v="1"/>
  </r>
  <r>
    <s v="PRD-07"/>
    <x v="0"/>
    <x v="0"/>
    <n v="4987.5"/>
    <x v="0"/>
  </r>
  <r>
    <s v="PRD-01"/>
    <x v="2"/>
    <x v="6"/>
    <s v="N/A"/>
    <x v="3"/>
  </r>
  <r>
    <s v="PRD-06"/>
    <x v="0"/>
    <x v="7"/>
    <n v="1615"/>
    <x v="3"/>
  </r>
  <r>
    <s v="PRD-12"/>
    <x v="1"/>
    <x v="2"/>
    <s v="N/A"/>
    <x v="5"/>
  </r>
  <r>
    <s v="PRD-09"/>
    <x v="7"/>
    <x v="6"/>
    <n v="1890"/>
    <x v="0"/>
  </r>
  <r>
    <s v="PRD-08"/>
    <x v="5"/>
    <x v="4"/>
    <s v="N/A"/>
    <x v="0"/>
  </r>
  <r>
    <s v="PRD-03"/>
    <x v="1"/>
    <x v="3"/>
    <s v="N/A"/>
    <x v="3"/>
  </r>
  <r>
    <s v="PRD-08"/>
    <x v="5"/>
    <x v="4"/>
    <s v="N/A"/>
    <x v="1"/>
  </r>
  <r>
    <s v="PRD-08"/>
    <x v="5"/>
    <x v="4"/>
    <n v="22000"/>
    <x v="1"/>
  </r>
  <r>
    <s v="PRD-09"/>
    <x v="7"/>
    <x v="6"/>
    <s v="N/A"/>
    <x v="1"/>
  </r>
  <r>
    <s v="PRD-03"/>
    <x v="1"/>
    <x v="3"/>
    <n v="12750"/>
    <x v="4"/>
  </r>
  <r>
    <s v="PRD-06"/>
    <x v="0"/>
    <x v="7"/>
    <s v="N/A"/>
    <x v="4"/>
  </r>
  <r>
    <s v="PRD-12"/>
    <x v="1"/>
    <x v="2"/>
    <n v="10450"/>
    <x v="2"/>
  </r>
  <r>
    <s v="PRD-04"/>
    <x v="1"/>
    <x v="1"/>
    <s v="N/A"/>
    <x v="0"/>
  </r>
  <r>
    <s v="PRD-11"/>
    <x v="6"/>
    <x v="7"/>
    <n v="4750"/>
    <x v="5"/>
  </r>
  <r>
    <s v="PRD-10"/>
    <x v="3"/>
    <x v="4"/>
    <n v="-1900"/>
    <x v="5"/>
  </r>
  <r>
    <s v="PRD-11"/>
    <x v="6"/>
    <x v="7"/>
    <n v="0"/>
    <x v="3"/>
  </r>
  <r>
    <s v="PRD-01"/>
    <x v="2"/>
    <x v="6"/>
    <s v="N/A"/>
    <x v="0"/>
  </r>
  <r>
    <s v="PRD-06"/>
    <x v="0"/>
    <x v="7"/>
    <s v="N/A"/>
    <x v="4"/>
  </r>
  <r>
    <s v="PRD-05"/>
    <x v="4"/>
    <x v="5"/>
    <n v="8000"/>
    <x v="2"/>
  </r>
  <r>
    <s v="PRD-12"/>
    <x v="1"/>
    <x v="2"/>
    <n v="4400"/>
    <x v="1"/>
  </r>
  <r>
    <s v="PRD-12"/>
    <x v="1"/>
    <x v="2"/>
    <s v="N/A"/>
    <x v="5"/>
  </r>
  <r>
    <s v="PRD-01"/>
    <x v="2"/>
    <x v="6"/>
    <s v="N/A"/>
    <x v="5"/>
  </r>
  <r>
    <s v="PRD-09"/>
    <x v="7"/>
    <x v="6"/>
    <n v="1260"/>
    <x v="0"/>
  </r>
  <r>
    <s v="PRD-06"/>
    <x v="0"/>
    <x v="7"/>
    <n v="1900"/>
    <x v="3"/>
  </r>
  <r>
    <s v="PRD-01"/>
    <x v="2"/>
    <x v="6"/>
    <n v="1020"/>
    <x v="3"/>
  </r>
  <r>
    <s v="PRD-03"/>
    <x v="1"/>
    <x v="3"/>
    <s v="N/A"/>
    <x v="5"/>
  </r>
  <r>
    <s v="PRD-05"/>
    <x v="4"/>
    <x v="5"/>
    <s v="N/A"/>
    <x v="4"/>
  </r>
  <r>
    <s v="PRD-06"/>
    <x v="0"/>
    <x v="7"/>
    <n v="4037.5"/>
    <x v="0"/>
  </r>
  <r>
    <s v="PRD-09"/>
    <x v="7"/>
    <x v="6"/>
    <n v="1400"/>
    <x v="0"/>
  </r>
  <r>
    <s v="PRD-04"/>
    <x v="1"/>
    <x v="1"/>
    <n v="640"/>
    <x v="2"/>
  </r>
  <r>
    <s v="PRD-05"/>
    <x v="4"/>
    <x v="5"/>
    <n v="-1900"/>
    <x v="2"/>
  </r>
  <r>
    <s v="PRD-09"/>
    <x v="7"/>
    <x v="6"/>
    <s v="N/A"/>
    <x v="3"/>
  </r>
  <r>
    <s v="PRD-02"/>
    <x v="2"/>
    <x v="1"/>
    <s v="N/A"/>
    <x v="3"/>
  </r>
  <r>
    <s v="PRD-03"/>
    <x v="1"/>
    <x v="3"/>
    <n v="3600"/>
    <x v="5"/>
  </r>
  <r>
    <s v="PRD-10"/>
    <x v="3"/>
    <x v="4"/>
    <n v="7220"/>
    <x v="3"/>
  </r>
  <r>
    <s v="PRD-08"/>
    <x v="5"/>
    <x v="4"/>
    <s v="N/A"/>
    <x v="0"/>
  </r>
  <r>
    <s v="PRD-06"/>
    <x v="0"/>
    <x v="7"/>
    <s v="N/A"/>
    <x v="5"/>
  </r>
  <r>
    <s v="PRD-12"/>
    <x v="1"/>
    <x v="2"/>
    <s v="N/A"/>
    <x v="1"/>
  </r>
  <r>
    <s v="PRD-01"/>
    <x v="2"/>
    <x v="6"/>
    <n v="3420"/>
    <x v="1"/>
  </r>
  <r>
    <s v="PRD-03"/>
    <x v="1"/>
    <x v="3"/>
    <s v="N/A"/>
    <x v="5"/>
  </r>
  <r>
    <s v="PRD-04"/>
    <x v="1"/>
    <x v="1"/>
    <n v="360"/>
    <x v="5"/>
  </r>
  <r>
    <s v="PRD-09"/>
    <x v="7"/>
    <x v="6"/>
    <s v="N/A"/>
    <x v="5"/>
  </r>
  <r>
    <s v="PRD-09"/>
    <x v="7"/>
    <x v="6"/>
    <n v="5950"/>
    <x v="0"/>
  </r>
  <r>
    <s v="PRD-08"/>
    <x v="5"/>
    <x v="4"/>
    <s v="N/A"/>
    <x v="0"/>
  </r>
  <r>
    <s v="PRD-04"/>
    <x v="1"/>
    <x v="1"/>
    <n v="0"/>
    <x v="0"/>
  </r>
  <r>
    <s v="PRD-05"/>
    <x v="4"/>
    <x v="5"/>
    <n v="-1600"/>
    <x v="3"/>
  </r>
  <r>
    <s v="PRD-09"/>
    <x v="7"/>
    <x v="6"/>
    <s v="N/A"/>
    <x v="0"/>
  </r>
  <r>
    <s v="PRD-01"/>
    <x v="2"/>
    <x v="6"/>
    <n v="11400"/>
    <x v="5"/>
  </r>
  <r>
    <s v="PRD-12"/>
    <x v="1"/>
    <x v="2"/>
    <n v="3135"/>
    <x v="4"/>
  </r>
  <r>
    <s v="PRD-04"/>
    <x v="1"/>
    <x v="1"/>
    <n v="640"/>
    <x v="3"/>
  </r>
  <r>
    <s v="PRD-04"/>
    <x v="1"/>
    <x v="1"/>
    <n v="-320"/>
    <x v="0"/>
  </r>
  <r>
    <s v="PRD-05"/>
    <x v="4"/>
    <x v="5"/>
    <s v="N/A"/>
    <x v="0"/>
  </r>
  <r>
    <s v="PRD-09"/>
    <x v="7"/>
    <x v="6"/>
    <n v="1995"/>
    <x v="0"/>
  </r>
  <r>
    <s v="PRD-11"/>
    <x v="6"/>
    <x v="7"/>
    <n v="1600"/>
    <x v="3"/>
  </r>
  <r>
    <s v="PRD-11"/>
    <x v="6"/>
    <x v="7"/>
    <s v="N/A"/>
    <x v="5"/>
  </r>
  <r>
    <s v="PRD-05"/>
    <x v="4"/>
    <x v="5"/>
    <s v="N/A"/>
    <x v="1"/>
  </r>
  <r>
    <s v="PRD-09"/>
    <x v="7"/>
    <x v="6"/>
    <n v="3150"/>
    <x v="2"/>
  </r>
  <r>
    <s v="PRD-03"/>
    <x v="1"/>
    <x v="3"/>
    <s v="N/A"/>
    <x v="0"/>
  </r>
  <r>
    <s v="PRD-08"/>
    <x v="5"/>
    <x v="4"/>
    <n v="0"/>
    <x v="5"/>
  </r>
  <r>
    <s v="PRD-10"/>
    <x v="3"/>
    <x v="4"/>
    <s v="N/A"/>
    <x v="1"/>
  </r>
  <r>
    <s v="PRD-03"/>
    <x v="1"/>
    <x v="3"/>
    <n v="15000"/>
    <x v="4"/>
  </r>
  <r>
    <s v="PRD-06"/>
    <x v="0"/>
    <x v="7"/>
    <n v="7600"/>
    <x v="5"/>
  </r>
  <r>
    <s v="PRD-09"/>
    <x v="7"/>
    <x v="6"/>
    <s v="N/A"/>
    <x v="4"/>
  </r>
  <r>
    <s v="PRD-08"/>
    <x v="5"/>
    <x v="4"/>
    <n v="2090"/>
    <x v="1"/>
  </r>
  <r>
    <s v="PRD-03"/>
    <x v="1"/>
    <x v="3"/>
    <s v="N/A"/>
    <x v="3"/>
  </r>
  <r>
    <s v="PRD-05"/>
    <x v="4"/>
    <x v="5"/>
    <s v="N/A"/>
    <x v="3"/>
  </r>
  <r>
    <s v="PRD-11"/>
    <x v="6"/>
    <x v="7"/>
    <n v="500"/>
    <x v="1"/>
  </r>
  <r>
    <s v="PRD-07"/>
    <x v="0"/>
    <x v="0"/>
    <n v="1400"/>
    <x v="0"/>
  </r>
  <r>
    <s v="PRD-08"/>
    <x v="5"/>
    <x v="4"/>
    <n v="18700"/>
    <x v="1"/>
  </r>
  <r>
    <s v="PRD-12"/>
    <x v="1"/>
    <x v="2"/>
    <n v="0"/>
    <x v="1"/>
  </r>
  <r>
    <s v="PRD-03"/>
    <x v="1"/>
    <x v="3"/>
    <n v="4275"/>
    <x v="5"/>
  </r>
  <r>
    <s v="PRD-05"/>
    <x v="4"/>
    <x v="5"/>
    <s v="N/A"/>
    <x v="0"/>
  </r>
  <r>
    <s v="PRD-11"/>
    <x v="6"/>
    <x v="7"/>
    <s v="N/A"/>
    <x v="4"/>
  </r>
  <r>
    <s v="PRD-05"/>
    <x v="4"/>
    <x v="5"/>
    <n v="3400"/>
    <x v="5"/>
  </r>
  <r>
    <s v="PRD-06"/>
    <x v="0"/>
    <x v="7"/>
    <n v="855"/>
    <x v="3"/>
  </r>
  <r>
    <s v="PRD-12"/>
    <x v="1"/>
    <x v="2"/>
    <s v="N/A"/>
    <x v="1"/>
  </r>
  <r>
    <s v="PRD-04"/>
    <x v="1"/>
    <x v="1"/>
    <n v="2000"/>
    <x v="5"/>
  </r>
  <r>
    <s v="PRD-02"/>
    <x v="2"/>
    <x v="1"/>
    <n v="3800"/>
    <x v="3"/>
  </r>
  <r>
    <s v="PRD-10"/>
    <x v="3"/>
    <x v="4"/>
    <s v="N/A"/>
    <x v="1"/>
  </r>
  <r>
    <s v="PRD-06"/>
    <x v="0"/>
    <x v="7"/>
    <n v="760"/>
    <x v="0"/>
  </r>
  <r>
    <s v="PRD-12"/>
    <x v="1"/>
    <x v="2"/>
    <s v="N/A"/>
    <x v="1"/>
  </r>
  <r>
    <s v="PRD-09"/>
    <x v="7"/>
    <x v="6"/>
    <s v="N/A"/>
    <x v="1"/>
  </r>
  <r>
    <s v="PRD-12"/>
    <x v="1"/>
    <x v="2"/>
    <n v="3740"/>
    <x v="1"/>
  </r>
  <r>
    <s v="PRD-09"/>
    <x v="7"/>
    <x v="6"/>
    <n v="1330"/>
    <x v="0"/>
  </r>
  <r>
    <s v="PRD-06"/>
    <x v="0"/>
    <x v="7"/>
    <s v="N/A"/>
    <x v="5"/>
  </r>
  <r>
    <s v="PRD-08"/>
    <x v="5"/>
    <x v="4"/>
    <n v="19800"/>
    <x v="3"/>
  </r>
  <r>
    <s v="PRD-02"/>
    <x v="2"/>
    <x v="1"/>
    <n v="6400"/>
    <x v="1"/>
  </r>
  <r>
    <s v="PRD-10"/>
    <x v="3"/>
    <x v="4"/>
    <n v="1805"/>
    <x v="3"/>
  </r>
  <r>
    <s v="PRD-01"/>
    <x v="2"/>
    <x v="6"/>
    <n v="4080"/>
    <x v="2"/>
  </r>
  <r>
    <s v="PRD-12"/>
    <x v="1"/>
    <x v="2"/>
    <s v="N/A"/>
    <x v="2"/>
  </r>
  <r>
    <s v="PRD-10"/>
    <x v="3"/>
    <x v="4"/>
    <s v="N/A"/>
    <x v="2"/>
  </r>
  <r>
    <s v="PRD-11"/>
    <x v="6"/>
    <x v="7"/>
    <s v="N/A"/>
    <x v="2"/>
  </r>
  <r>
    <s v="PRD-11"/>
    <x v="6"/>
    <x v="7"/>
    <n v="400"/>
    <x v="3"/>
  </r>
  <r>
    <s v="PRD-03"/>
    <x v="1"/>
    <x v="3"/>
    <n v="-1275"/>
    <x v="1"/>
  </r>
  <r>
    <s v="PRD-04"/>
    <x v="1"/>
    <x v="1"/>
    <n v="-400"/>
    <x v="1"/>
  </r>
  <r>
    <s v="PRD-12"/>
    <x v="1"/>
    <x v="2"/>
    <n v="4180"/>
    <x v="3"/>
  </r>
  <r>
    <s v="PRD-08"/>
    <x v="5"/>
    <x v="4"/>
    <n v="9350"/>
    <x v="0"/>
  </r>
  <r>
    <s v="PRD-07"/>
    <x v="0"/>
    <x v="0"/>
    <s v="N/A"/>
    <x v="4"/>
  </r>
  <r>
    <s v="PRD-02"/>
    <x v="2"/>
    <x v="1"/>
    <s v="N/A"/>
    <x v="2"/>
  </r>
  <r>
    <s v="PRD-08"/>
    <x v="5"/>
    <x v="4"/>
    <s v="N/A"/>
    <x v="3"/>
  </r>
  <r>
    <s v="PRD-08"/>
    <x v="5"/>
    <x v="4"/>
    <s v="N/A"/>
    <x v="5"/>
  </r>
  <r>
    <s v="PRD-09"/>
    <x v="7"/>
    <x v="6"/>
    <n v="1120"/>
    <x v="4"/>
  </r>
  <r>
    <s v="PRD-05"/>
    <x v="4"/>
    <x v="5"/>
    <n v="7600"/>
    <x v="5"/>
  </r>
  <r>
    <s v="PRD-04"/>
    <x v="1"/>
    <x v="1"/>
    <n v="680"/>
    <x v="0"/>
  </r>
  <r>
    <s v="PRD-03"/>
    <x v="1"/>
    <x v="3"/>
    <n v="2850"/>
    <x v="1"/>
  </r>
  <r>
    <s v="PRD-04"/>
    <x v="1"/>
    <x v="1"/>
    <n v="-340"/>
    <x v="3"/>
  </r>
  <r>
    <s v="PRD-08"/>
    <x v="5"/>
    <x v="4"/>
    <n v="2090"/>
    <x v="5"/>
  </r>
  <r>
    <s v="PRD-06"/>
    <x v="0"/>
    <x v="7"/>
    <n v="1710"/>
    <x v="3"/>
  </r>
  <r>
    <s v="PRD-10"/>
    <x v="3"/>
    <x v="4"/>
    <s v="N/A"/>
    <x v="3"/>
  </r>
  <r>
    <s v="PRD-03"/>
    <x v="1"/>
    <x v="3"/>
    <s v="N/A"/>
    <x v="2"/>
  </r>
  <r>
    <s v="PRD-01"/>
    <x v="2"/>
    <x v="6"/>
    <s v="N/A"/>
    <x v="4"/>
  </r>
  <r>
    <s v="PRD-04"/>
    <x v="1"/>
    <x v="1"/>
    <n v="-320"/>
    <x v="3"/>
  </r>
  <r>
    <s v="PRD-09"/>
    <x v="7"/>
    <x v="6"/>
    <n v="560"/>
    <x v="1"/>
  </r>
  <r>
    <s v="PRD-10"/>
    <x v="3"/>
    <x v="4"/>
    <n v="1520"/>
    <x v="2"/>
  </r>
  <r>
    <s v="PRD-01"/>
    <x v="2"/>
    <x v="6"/>
    <n v="2160"/>
    <x v="3"/>
  </r>
  <r>
    <s v="PRD-03"/>
    <x v="1"/>
    <x v="3"/>
    <n v="6000"/>
    <x v="0"/>
  </r>
  <r>
    <s v="PRD-11"/>
    <x v="6"/>
    <x v="7"/>
    <s v="N/A"/>
    <x v="4"/>
  </r>
  <r>
    <s v="PRD-04"/>
    <x v="1"/>
    <x v="1"/>
    <n v="1280"/>
    <x v="0"/>
  </r>
  <r>
    <s v="PRD-02"/>
    <x v="2"/>
    <x v="1"/>
    <n v="680"/>
    <x v="2"/>
  </r>
  <r>
    <s v="PRD-10"/>
    <x v="3"/>
    <x v="4"/>
    <n v="1520"/>
    <x v="1"/>
  </r>
  <r>
    <s v="PRD-06"/>
    <x v="0"/>
    <x v="7"/>
    <s v="N/A"/>
    <x v="4"/>
  </r>
  <r>
    <s v="PRD-03"/>
    <x v="1"/>
    <x v="3"/>
    <n v="2400"/>
    <x v="4"/>
  </r>
  <r>
    <s v="PRD-07"/>
    <x v="0"/>
    <x v="0"/>
    <n v="5950"/>
    <x v="2"/>
  </r>
  <r>
    <s v="PRD-06"/>
    <x v="0"/>
    <x v="7"/>
    <s v="N/A"/>
    <x v="0"/>
  </r>
  <r>
    <s v="PRD-10"/>
    <x v="3"/>
    <x v="4"/>
    <n v="0"/>
    <x v="3"/>
  </r>
  <r>
    <s v="PRD-03"/>
    <x v="1"/>
    <x v="3"/>
    <n v="6000"/>
    <x v="5"/>
  </r>
  <r>
    <s v="PRD-07"/>
    <x v="0"/>
    <x v="0"/>
    <s v="N/A"/>
    <x v="4"/>
  </r>
  <r>
    <s v="PRD-01"/>
    <x v="2"/>
    <x v="6"/>
    <s v="N/A"/>
    <x v="1"/>
  </r>
  <r>
    <s v="PRD-08"/>
    <x v="5"/>
    <x v="4"/>
    <s v="N/A"/>
    <x v="3"/>
  </r>
  <r>
    <s v="PRD-03"/>
    <x v="1"/>
    <x v="3"/>
    <s v="N/A"/>
    <x v="5"/>
  </r>
  <r>
    <s v="PRD-04"/>
    <x v="1"/>
    <x v="1"/>
    <n v="0"/>
    <x v="2"/>
  </r>
  <r>
    <s v="PRD-07"/>
    <x v="0"/>
    <x v="0"/>
    <n v="1400"/>
    <x v="4"/>
  </r>
  <r>
    <s v="PRD-06"/>
    <x v="0"/>
    <x v="7"/>
    <n v="4037.5"/>
    <x v="0"/>
  </r>
  <r>
    <s v="PRD-10"/>
    <x v="3"/>
    <x v="4"/>
    <s v="N/A"/>
    <x v="1"/>
  </r>
  <r>
    <s v="PRD-03"/>
    <x v="1"/>
    <x v="3"/>
    <s v="N/A"/>
    <x v="2"/>
  </r>
  <r>
    <s v="PRD-11"/>
    <x v="6"/>
    <x v="7"/>
    <n v="475"/>
    <x v="1"/>
  </r>
  <r>
    <s v="PRD-10"/>
    <x v="3"/>
    <x v="4"/>
    <n v="1615"/>
    <x v="2"/>
  </r>
  <r>
    <s v="PRD-07"/>
    <x v="0"/>
    <x v="0"/>
    <s v="N/A"/>
    <x v="3"/>
  </r>
  <r>
    <s v="PRD-10"/>
    <x v="3"/>
    <x v="4"/>
    <n v="19000"/>
    <x v="1"/>
  </r>
  <r>
    <s v="PRD-07"/>
    <x v="0"/>
    <x v="0"/>
    <n v="7000"/>
    <x v="4"/>
  </r>
  <r>
    <s v="PRD-02"/>
    <x v="2"/>
    <x v="1"/>
    <n v="2880"/>
    <x v="0"/>
  </r>
  <r>
    <s v="PRD-11"/>
    <x v="6"/>
    <x v="7"/>
    <n v="2500"/>
    <x v="3"/>
  </r>
  <r>
    <s v="PRD-05"/>
    <x v="4"/>
    <x v="5"/>
    <s v="N/A"/>
    <x v="1"/>
  </r>
  <r>
    <s v="PRD-01"/>
    <x v="2"/>
    <x v="6"/>
    <n v="3240"/>
    <x v="1"/>
  </r>
  <r>
    <s v="PRD-11"/>
    <x v="6"/>
    <x v="7"/>
    <n v="2000"/>
    <x v="5"/>
  </r>
  <r>
    <s v="PRD-05"/>
    <x v="4"/>
    <x v="5"/>
    <n v="1900"/>
    <x v="5"/>
  </r>
  <r>
    <s v="PRD-02"/>
    <x v="2"/>
    <x v="1"/>
    <n v="640"/>
    <x v="0"/>
  </r>
  <r>
    <s v="PRD-11"/>
    <x v="6"/>
    <x v="7"/>
    <s v="N/A"/>
    <x v="5"/>
  </r>
  <r>
    <s v="PRD-09"/>
    <x v="7"/>
    <x v="6"/>
    <n v="3500"/>
    <x v="1"/>
  </r>
  <r>
    <s v="PRD-09"/>
    <x v="7"/>
    <x v="6"/>
    <s v="N/A"/>
    <x v="0"/>
  </r>
  <r>
    <s v="PRD-12"/>
    <x v="1"/>
    <x v="2"/>
    <n v="2805"/>
    <x v="5"/>
  </r>
  <r>
    <s v="PRD-05"/>
    <x v="4"/>
    <x v="5"/>
    <n v="7600"/>
    <x v="0"/>
  </r>
  <r>
    <s v="PRD-04"/>
    <x v="1"/>
    <x v="1"/>
    <n v="2000"/>
    <x v="5"/>
  </r>
  <r>
    <s v="PRD-07"/>
    <x v="0"/>
    <x v="0"/>
    <n v="-1575"/>
    <x v="0"/>
  </r>
  <r>
    <s v="PRD-12"/>
    <x v="1"/>
    <x v="2"/>
    <s v="N/A"/>
    <x v="0"/>
  </r>
  <r>
    <s v="PRD-11"/>
    <x v="6"/>
    <x v="7"/>
    <n v="5000"/>
    <x v="3"/>
  </r>
  <r>
    <s v="PRD-07"/>
    <x v="0"/>
    <x v="0"/>
    <n v="7875"/>
    <x v="5"/>
  </r>
  <r>
    <s v="PRD-12"/>
    <x v="1"/>
    <x v="2"/>
    <n v="0"/>
    <x v="1"/>
  </r>
  <r>
    <s v="PRD-05"/>
    <x v="4"/>
    <x v="5"/>
    <n v="18000"/>
    <x v="5"/>
  </r>
  <r>
    <s v="PRD-09"/>
    <x v="7"/>
    <x v="6"/>
    <n v="1785"/>
    <x v="4"/>
  </r>
  <r>
    <s v="PRD-11"/>
    <x v="6"/>
    <x v="7"/>
    <s v="N/A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d v="2023-01-30T00:00:00"/>
    <x v="0"/>
    <s v="N/A"/>
  </r>
  <r>
    <d v="2024-04-16T00:00:00"/>
    <x v="1"/>
    <n v="640"/>
  </r>
  <r>
    <d v="2023-08-03T00:00:00"/>
    <x v="2"/>
    <s v="N/A"/>
  </r>
  <r>
    <d v="2024-09-08T00:00:00"/>
    <x v="3"/>
    <n v="0"/>
  </r>
  <r>
    <d v="2023-05-16T00:00:00"/>
    <x v="4"/>
    <n v="2850"/>
  </r>
  <r>
    <d v="2024-05-05T00:00:00"/>
    <x v="4"/>
    <n v="5225"/>
  </r>
  <r>
    <d v="2024-01-12T00:00:00"/>
    <x v="0"/>
    <n v="5415"/>
  </r>
  <r>
    <d v="2024-01-13T00:00:00"/>
    <x v="0"/>
    <s v="N/A"/>
  </r>
  <r>
    <d v="2024-07-26T00:00:00"/>
    <x v="5"/>
    <n v="16150"/>
  </r>
  <r>
    <d v="2024-04-10T00:00:00"/>
    <x v="1"/>
    <s v="N/A"/>
  </r>
  <r>
    <d v="2024-07-10T00:00:00"/>
    <x v="5"/>
    <n v="4180"/>
  </r>
  <r>
    <d v="2024-01-19T00:00:00"/>
    <x v="0"/>
    <n v="3420"/>
  </r>
  <r>
    <d v="2024-07-06T00:00:00"/>
    <x v="5"/>
    <n v="1900"/>
  </r>
  <r>
    <d v="2024-03-17T00:00:00"/>
    <x v="6"/>
    <s v="N/A"/>
  </r>
  <r>
    <d v="2023-10-26T00:00:00"/>
    <x v="7"/>
    <n v="950"/>
  </r>
  <r>
    <d v="2023-08-01T00:00:00"/>
    <x v="2"/>
    <n v="4512.5"/>
  </r>
  <r>
    <d v="2023-09-29T00:00:00"/>
    <x v="3"/>
    <s v="N/A"/>
  </r>
  <r>
    <d v="2024-09-21T00:00:00"/>
    <x v="3"/>
    <n v="3300"/>
  </r>
  <r>
    <d v="2023-07-27T00:00:00"/>
    <x v="5"/>
    <s v="N/A"/>
  </r>
  <r>
    <d v="2023-12-20T00:00:00"/>
    <x v="8"/>
    <s v="N/A"/>
  </r>
  <r>
    <d v="2023-12-19T00:00:00"/>
    <x v="8"/>
    <n v="-450"/>
  </r>
  <r>
    <d v="2024-07-01T00:00:00"/>
    <x v="5"/>
    <n v="0"/>
  </r>
  <r>
    <d v="2023-08-20T00:00:00"/>
    <x v="2"/>
    <n v="1900"/>
  </r>
  <r>
    <d v="2023-01-30T00:00:00"/>
    <x v="0"/>
    <s v="N/A"/>
  </r>
  <r>
    <d v="2023-01-10T00:00:00"/>
    <x v="0"/>
    <n v="3960"/>
  </r>
  <r>
    <d v="2024-06-08T00:00:00"/>
    <x v="9"/>
    <s v="N/A"/>
  </r>
  <r>
    <d v="2023-09-11T00:00:00"/>
    <x v="3"/>
    <s v="N/A"/>
  </r>
  <r>
    <d v="2023-12-17T00:00:00"/>
    <x v="8"/>
    <n v="1700"/>
  </r>
  <r>
    <d v="2023-06-11T00:00:00"/>
    <x v="9"/>
    <s v="N/A"/>
  </r>
  <r>
    <d v="2023-06-07T00:00:00"/>
    <x v="9"/>
    <n v="2800"/>
  </r>
  <r>
    <d v="2023-07-23T00:00:00"/>
    <x v="5"/>
    <s v="N/A"/>
  </r>
  <r>
    <d v="2024-06-09T00:00:00"/>
    <x v="9"/>
    <s v="N/A"/>
  </r>
  <r>
    <d v="2023-12-17T00:00:00"/>
    <x v="8"/>
    <n v="1700"/>
  </r>
  <r>
    <d v="2024-07-02T00:00:00"/>
    <x v="5"/>
    <n v="3200"/>
  </r>
  <r>
    <d v="2023-05-24T00:00:00"/>
    <x v="4"/>
    <n v="4000"/>
  </r>
  <r>
    <d v="2024-06-05T00:00:00"/>
    <x v="9"/>
    <s v="N/A"/>
  </r>
  <r>
    <d v="2023-10-09T00:00:00"/>
    <x v="7"/>
    <s v="N/A"/>
  </r>
  <r>
    <d v="2024-08-14T00:00:00"/>
    <x v="2"/>
    <n v="-990"/>
  </r>
  <r>
    <d v="2023-11-08T00:00:00"/>
    <x v="10"/>
    <s v="N/A"/>
  </r>
  <r>
    <d v="2024-02-14T00:00:00"/>
    <x v="11"/>
    <s v="N/A"/>
  </r>
  <r>
    <d v="2024-09-03T00:00:00"/>
    <x v="3"/>
    <s v="N/A"/>
  </r>
  <r>
    <d v="2023-01-17T00:00:00"/>
    <x v="0"/>
    <s v="N/A"/>
  </r>
  <r>
    <d v="2023-04-22T00:00:00"/>
    <x v="1"/>
    <n v="4000"/>
  </r>
  <r>
    <d v="2024-06-17T00:00:00"/>
    <x v="9"/>
    <s v="N/A"/>
  </r>
  <r>
    <d v="2023-03-12T00:00:00"/>
    <x v="6"/>
    <n v="0"/>
  </r>
  <r>
    <d v="2024-02-23T00:00:00"/>
    <x v="11"/>
    <s v="N/A"/>
  </r>
  <r>
    <d v="2024-03-05T00:00:00"/>
    <x v="6"/>
    <n v="4080"/>
  </r>
  <r>
    <d v="2024-09-24T00:00:00"/>
    <x v="3"/>
    <n v="2280"/>
  </r>
  <r>
    <d v="2023-06-21T00:00:00"/>
    <x v="9"/>
    <s v="N/A"/>
  </r>
  <r>
    <d v="2023-05-04T00:00:00"/>
    <x v="4"/>
    <s v="N/A"/>
  </r>
  <r>
    <d v="2024-09-04T00:00:00"/>
    <x v="3"/>
    <n v="4000"/>
  </r>
  <r>
    <d v="2023-06-18T00:00:00"/>
    <x v="9"/>
    <n v="5100"/>
  </r>
  <r>
    <d v="2023-10-28T00:00:00"/>
    <x v="7"/>
    <n v="1870"/>
  </r>
  <r>
    <d v="2024-07-17T00:00:00"/>
    <x v="5"/>
    <s v="N/A"/>
  </r>
  <r>
    <d v="2023-09-12T00:00:00"/>
    <x v="3"/>
    <n v="3840"/>
  </r>
  <r>
    <d v="2024-02-02T00:00:00"/>
    <x v="11"/>
    <s v="N/A"/>
  </r>
  <r>
    <d v="2023-01-21T00:00:00"/>
    <x v="0"/>
    <n v="4800"/>
  </r>
  <r>
    <d v="2023-05-08T00:00:00"/>
    <x v="4"/>
    <s v="N/A"/>
  </r>
  <r>
    <d v="2023-02-24T00:00:00"/>
    <x v="11"/>
    <s v="N/A"/>
  </r>
  <r>
    <d v="2023-07-25T00:00:00"/>
    <x v="5"/>
    <n v="6840"/>
  </r>
  <r>
    <d v="2023-03-08T00:00:00"/>
    <x v="6"/>
    <n v="4800"/>
  </r>
  <r>
    <d v="2024-05-11T00:00:00"/>
    <x v="4"/>
    <n v="1575"/>
  </r>
  <r>
    <d v="2023-01-03T00:00:00"/>
    <x v="0"/>
    <n v="6600"/>
  </r>
  <r>
    <d v="2024-09-29T00:00:00"/>
    <x v="3"/>
    <s v="N/A"/>
  </r>
  <r>
    <d v="2024-09-26T00:00:00"/>
    <x v="3"/>
    <n v="850"/>
  </r>
  <r>
    <d v="2023-05-21T00:00:00"/>
    <x v="4"/>
    <s v="N/A"/>
  </r>
  <r>
    <d v="2024-04-09T00:00:00"/>
    <x v="1"/>
    <n v="4725"/>
  </r>
  <r>
    <d v="2024-08-23T00:00:00"/>
    <x v="2"/>
    <s v="N/A"/>
  </r>
  <r>
    <d v="2023-05-18T00:00:00"/>
    <x v="4"/>
    <n v="1785"/>
  </r>
  <r>
    <d v="2023-05-16T00:00:00"/>
    <x v="4"/>
    <n v="2850"/>
  </r>
  <r>
    <d v="2023-04-03T00:00:00"/>
    <x v="1"/>
    <s v="N/A"/>
  </r>
  <r>
    <d v="2023-12-14T00:00:00"/>
    <x v="8"/>
    <n v="2975"/>
  </r>
  <r>
    <d v="2024-03-15T00:00:00"/>
    <x v="6"/>
    <n v="2975"/>
  </r>
  <r>
    <d v="2024-05-15T00:00:00"/>
    <x v="4"/>
    <s v="N/A"/>
  </r>
  <r>
    <d v="2024-07-20T00:00:00"/>
    <x v="5"/>
    <n v="1800"/>
  </r>
  <r>
    <d v="2024-07-07T00:00:00"/>
    <x v="5"/>
    <n v="2640"/>
  </r>
  <r>
    <d v="2023-02-17T00:00:00"/>
    <x v="11"/>
    <s v="N/A"/>
  </r>
  <r>
    <d v="2023-02-05T00:00:00"/>
    <x v="11"/>
    <s v="N/A"/>
  </r>
  <r>
    <d v="2024-08-08T00:00:00"/>
    <x v="2"/>
    <n v="4080"/>
  </r>
  <r>
    <d v="2023-04-15T00:00:00"/>
    <x v="1"/>
    <s v="N/A"/>
  </r>
  <r>
    <d v="2023-05-21T00:00:00"/>
    <x v="4"/>
    <s v="N/A"/>
  </r>
  <r>
    <d v="2024-09-17T00:00:00"/>
    <x v="3"/>
    <n v="8800"/>
  </r>
  <r>
    <d v="2024-07-01T00:00:00"/>
    <x v="5"/>
    <n v="0"/>
  </r>
  <r>
    <d v="2023-05-08T00:00:00"/>
    <x v="4"/>
    <s v="N/A"/>
  </r>
  <r>
    <d v="2024-03-28T00:00:00"/>
    <x v="6"/>
    <n v="6800"/>
  </r>
  <r>
    <d v="2024-05-16T00:00:00"/>
    <x v="4"/>
    <s v="N/A"/>
  </r>
  <r>
    <d v="2024-01-02T00:00:00"/>
    <x v="0"/>
    <s v="N/A"/>
  </r>
  <r>
    <d v="2024-07-30T00:00:00"/>
    <x v="5"/>
    <s v="N/A"/>
  </r>
  <r>
    <d v="2024-06-20T00:00:00"/>
    <x v="9"/>
    <n v="4987.5"/>
  </r>
  <r>
    <d v="2023-10-07T00:00:00"/>
    <x v="7"/>
    <s v="N/A"/>
  </r>
  <r>
    <d v="2024-05-29T00:00:00"/>
    <x v="4"/>
    <n v="1615"/>
  </r>
  <r>
    <d v="2024-07-14T00:00:00"/>
    <x v="5"/>
    <s v="N/A"/>
  </r>
  <r>
    <d v="2023-09-04T00:00:00"/>
    <x v="3"/>
    <n v="1890"/>
  </r>
  <r>
    <d v="2024-09-08T00:00:00"/>
    <x v="3"/>
    <n v="0"/>
  </r>
  <r>
    <d v="2024-08-17T00:00:00"/>
    <x v="2"/>
    <s v="N/A"/>
  </r>
  <r>
    <d v="2023-11-15T00:00:00"/>
    <x v="10"/>
    <s v="N/A"/>
  </r>
  <r>
    <d v="2023-11-13T00:00:00"/>
    <x v="10"/>
    <n v="22000"/>
  </r>
  <r>
    <d v="2023-08-28T00:00:00"/>
    <x v="2"/>
    <s v="N/A"/>
  </r>
  <r>
    <d v="2024-01-03T00:00:00"/>
    <x v="0"/>
    <n v="12750"/>
  </r>
  <r>
    <d v="2023-02-21T00:00:00"/>
    <x v="11"/>
    <s v="N/A"/>
  </r>
  <r>
    <d v="2023-01-02T00:00:00"/>
    <x v="0"/>
    <n v="10450"/>
  </r>
  <r>
    <d v="2023-10-23T00:00:00"/>
    <x v="7"/>
    <s v="N/A"/>
  </r>
  <r>
    <d v="2024-02-29T00:00:00"/>
    <x v="11"/>
    <n v="4750"/>
  </r>
  <r>
    <d v="2024-08-29T00:00:00"/>
    <x v="2"/>
    <n v="-1900"/>
  </r>
  <r>
    <d v="2024-06-01T00:00:00"/>
    <x v="9"/>
    <n v="0"/>
  </r>
  <r>
    <d v="2024-06-02T00:00:00"/>
    <x v="9"/>
    <s v="N/A"/>
  </r>
  <r>
    <d v="2023-04-27T00:00:00"/>
    <x v="1"/>
    <s v="N/A"/>
  </r>
  <r>
    <d v="2023-07-26T00:00:00"/>
    <x v="5"/>
    <n v="8000"/>
  </r>
  <r>
    <d v="2023-12-10T00:00:00"/>
    <x v="8"/>
    <n v="4400"/>
  </r>
  <r>
    <d v="2023-01-04T00:00:00"/>
    <x v="0"/>
    <s v="N/A"/>
  </r>
  <r>
    <d v="2023-05-22T00:00:00"/>
    <x v="4"/>
    <s v="N/A"/>
  </r>
  <r>
    <d v="2024-09-20T00:00:00"/>
    <x v="3"/>
    <n v="1260"/>
  </r>
  <r>
    <d v="2023-05-24T00:00:00"/>
    <x v="4"/>
    <n v="4000"/>
  </r>
  <r>
    <d v="2023-10-14T00:00:00"/>
    <x v="7"/>
    <n v="1020"/>
  </r>
  <r>
    <d v="2023-10-26T00:00:00"/>
    <x v="7"/>
    <n v="950"/>
  </r>
  <r>
    <d v="2023-05-28T00:00:00"/>
    <x v="4"/>
    <s v="N/A"/>
  </r>
  <r>
    <d v="2024-06-19T00:00:00"/>
    <x v="9"/>
    <n v="4037.5"/>
  </r>
  <r>
    <d v="2023-11-03T00:00:00"/>
    <x v="10"/>
    <n v="1400"/>
  </r>
  <r>
    <d v="2023-02-03T00:00:00"/>
    <x v="11"/>
    <n v="640"/>
  </r>
  <r>
    <d v="2024-08-09T00:00:00"/>
    <x v="2"/>
    <n v="-1900"/>
  </r>
  <r>
    <d v="2023-03-26T00:00:00"/>
    <x v="6"/>
    <s v="N/A"/>
  </r>
  <r>
    <d v="2023-04-27T00:00:00"/>
    <x v="1"/>
    <s v="N/A"/>
  </r>
  <r>
    <d v="2023-01-09T00:00:00"/>
    <x v="0"/>
    <n v="3600"/>
  </r>
  <r>
    <d v="2023-02-16T00:00:00"/>
    <x v="11"/>
    <n v="7220"/>
  </r>
  <r>
    <d v="2023-01-10T00:00:00"/>
    <x v="0"/>
    <n v="3960"/>
  </r>
  <r>
    <d v="2023-12-13T00:00:00"/>
    <x v="8"/>
    <s v="N/A"/>
  </r>
  <r>
    <d v="2023-09-08T00:00:00"/>
    <x v="3"/>
    <s v="N/A"/>
  </r>
  <r>
    <d v="2023-01-21T00:00:00"/>
    <x v="0"/>
    <n v="4800"/>
  </r>
  <r>
    <d v="2023-04-01T00:00:00"/>
    <x v="1"/>
    <s v="N/A"/>
  </r>
  <r>
    <d v="2023-11-04T00:00:00"/>
    <x v="10"/>
    <n v="360"/>
  </r>
  <r>
    <d v="2023-07-15T00:00:00"/>
    <x v="5"/>
    <s v="N/A"/>
  </r>
  <r>
    <d v="2023-05-12T00:00:00"/>
    <x v="4"/>
    <n v="5950"/>
  </r>
  <r>
    <d v="2024-08-10T00:00:00"/>
    <x v="2"/>
    <s v="N/A"/>
  </r>
  <r>
    <d v="2024-02-10T00:00:00"/>
    <x v="11"/>
    <n v="0"/>
  </r>
  <r>
    <d v="2024-01-31T00:00:00"/>
    <x v="0"/>
    <n v="-1600"/>
  </r>
  <r>
    <d v="2023-02-25T00:00:00"/>
    <x v="11"/>
    <s v="N/A"/>
  </r>
  <r>
    <d v="2024-02-28T00:00:00"/>
    <x v="11"/>
    <n v="11400"/>
  </r>
  <r>
    <d v="2023-02-08T00:00:00"/>
    <x v="11"/>
    <n v="3135"/>
  </r>
  <r>
    <d v="2024-07-18T00:00:00"/>
    <x v="5"/>
    <n v="640"/>
  </r>
  <r>
    <d v="2023-03-05T00:00:00"/>
    <x v="6"/>
    <n v="-320"/>
  </r>
  <r>
    <d v="2023-07-07T00:00:00"/>
    <x v="5"/>
    <s v="N/A"/>
  </r>
  <r>
    <d v="2023-06-24T00:00:00"/>
    <x v="9"/>
    <n v="1995"/>
  </r>
  <r>
    <d v="2023-07-10T00:00:00"/>
    <x v="5"/>
    <n v="1600"/>
  </r>
  <r>
    <d v="2024-03-13T00:00:00"/>
    <x v="6"/>
    <s v="N/A"/>
  </r>
  <r>
    <d v="2023-02-25T00:00:00"/>
    <x v="11"/>
    <s v="N/A"/>
  </r>
  <r>
    <d v="2024-08-08T00:00:00"/>
    <x v="2"/>
    <n v="4080"/>
  </r>
  <r>
    <d v="2024-09-20T00:00:00"/>
    <x v="3"/>
    <n v="1260"/>
  </r>
  <r>
    <d v="2023-06-26T00:00:00"/>
    <x v="9"/>
    <n v="0"/>
  </r>
  <r>
    <d v="2023-06-10T00:00:00"/>
    <x v="9"/>
    <s v="N/A"/>
  </r>
  <r>
    <d v="2023-04-01T00:00:00"/>
    <x v="1"/>
    <s v="N/A"/>
  </r>
  <r>
    <d v="2023-09-16T00:00:00"/>
    <x v="3"/>
    <n v="7600"/>
  </r>
  <r>
    <d v="2023-04-14T00:00:00"/>
    <x v="1"/>
    <s v="N/A"/>
  </r>
  <r>
    <d v="2023-08-29T00:00:00"/>
    <x v="2"/>
    <n v="2090"/>
  </r>
  <r>
    <d v="2023-06-24T00:00:00"/>
    <x v="9"/>
    <n v="1995"/>
  </r>
  <r>
    <d v="2024-03-29T00:00:00"/>
    <x v="6"/>
    <s v="N/A"/>
  </r>
  <r>
    <d v="2023-03-28T00:00:00"/>
    <x v="6"/>
    <n v="500"/>
  </r>
  <r>
    <d v="2023-11-07T00:00:00"/>
    <x v="10"/>
    <n v="1400"/>
  </r>
  <r>
    <d v="2024-09-18T00:00:00"/>
    <x v="3"/>
    <n v="18700"/>
  </r>
  <r>
    <d v="2023-08-05T00:00:00"/>
    <x v="2"/>
    <n v="0"/>
  </r>
  <r>
    <d v="2023-11-06T00:00:00"/>
    <x v="10"/>
    <n v="4275"/>
  </r>
  <r>
    <d v="2023-07-04T00:00:00"/>
    <x v="5"/>
    <s v="N/A"/>
  </r>
  <r>
    <d v="2024-08-12T00:00:00"/>
    <x v="2"/>
    <s v="N/A"/>
  </r>
  <r>
    <d v="2023-05-21T00:00:00"/>
    <x v="4"/>
    <s v="N/A"/>
  </r>
  <r>
    <d v="2023-02-13T00:00:00"/>
    <x v="11"/>
    <n v="855"/>
  </r>
  <r>
    <d v="2024-05-15T00:00:00"/>
    <x v="4"/>
    <s v="N/A"/>
  </r>
  <r>
    <d v="2023-12-13T00:00:00"/>
    <x v="8"/>
    <s v="N/A"/>
  </r>
  <r>
    <d v="2023-04-08T00:00:00"/>
    <x v="1"/>
    <n v="3800"/>
  </r>
  <r>
    <d v="2023-09-12T00:00:00"/>
    <x v="3"/>
    <n v="3840"/>
  </r>
  <r>
    <d v="2023-04-20T00:00:00"/>
    <x v="1"/>
    <n v="760"/>
  </r>
  <r>
    <d v="2023-06-13T00:00:00"/>
    <x v="9"/>
    <s v="N/A"/>
  </r>
  <r>
    <d v="2023-12-10T00:00:00"/>
    <x v="8"/>
    <n v="4400"/>
  </r>
  <r>
    <d v="2023-01-12T00:00:00"/>
    <x v="0"/>
    <n v="3740"/>
  </r>
  <r>
    <d v="2024-08-15T00:00:00"/>
    <x v="2"/>
    <n v="1330"/>
  </r>
  <r>
    <d v="2023-11-27T00:00:00"/>
    <x v="10"/>
    <s v="N/A"/>
  </r>
  <r>
    <d v="2024-01-05T00:00:00"/>
    <x v="0"/>
    <n v="19800"/>
  </r>
  <r>
    <d v="2024-12-02T00:00:00"/>
    <x v="8"/>
    <n v="6400"/>
  </r>
  <r>
    <d v="2023-09-04T00:00:00"/>
    <x v="3"/>
    <n v="1890"/>
  </r>
  <r>
    <d v="2024-05-04T00:00:00"/>
    <x v="4"/>
    <n v="4080"/>
  </r>
  <r>
    <d v="2024-08-24T00:00:00"/>
    <x v="2"/>
    <s v="N/A"/>
  </r>
  <r>
    <d v="2024-10-07T00:00:00"/>
    <x v="7"/>
    <s v="N/A"/>
  </r>
  <r>
    <d v="2024-01-26T00:00:00"/>
    <x v="0"/>
    <s v="N/A"/>
  </r>
  <r>
    <d v="2023-05-11T00:00:00"/>
    <x v="4"/>
    <n v="400"/>
  </r>
  <r>
    <d v="2023-06-28T00:00:00"/>
    <x v="9"/>
    <n v="-1275"/>
  </r>
  <r>
    <d v="2023-09-04T00:00:00"/>
    <x v="3"/>
    <n v="1890"/>
  </r>
  <r>
    <d v="2023-03-31T00:00:00"/>
    <x v="6"/>
    <n v="4180"/>
  </r>
  <r>
    <d v="2024-03-04T00:00:00"/>
    <x v="6"/>
    <n v="9350"/>
  </r>
  <r>
    <d v="2024-09-27T00:00:00"/>
    <x v="3"/>
    <s v="N/A"/>
  </r>
  <r>
    <d v="2023-10-30T00:00:00"/>
    <x v="7"/>
    <s v="N/A"/>
  </r>
  <r>
    <d v="2024-05-24T00:00:00"/>
    <x v="4"/>
    <s v="N/A"/>
  </r>
  <r>
    <d v="2023-01-09T00:00:00"/>
    <x v="0"/>
    <n v="3600"/>
  </r>
  <r>
    <d v="2023-09-17T00:00:00"/>
    <x v="3"/>
    <n v="1120"/>
  </r>
  <r>
    <d v="2023-04-28T00:00:00"/>
    <x v="1"/>
    <n v="7600"/>
  </r>
  <r>
    <d v="2023-01-05T00:00:00"/>
    <x v="0"/>
    <n v="680"/>
  </r>
  <r>
    <d v="2024-09-22T00:00:00"/>
    <x v="3"/>
    <n v="2850"/>
  </r>
  <r>
    <d v="2023-10-12T00:00:00"/>
    <x v="7"/>
    <n v="-340"/>
  </r>
  <r>
    <d v="2023-10-30T00:00:00"/>
    <x v="7"/>
    <s v="N/A"/>
  </r>
  <r>
    <d v="2023-09-25T00:00:00"/>
    <x v="3"/>
    <n v="1710"/>
  </r>
  <r>
    <d v="2023-01-31T00:00:00"/>
    <x v="0"/>
    <s v="N/A"/>
  </r>
  <r>
    <d v="2023-12-22T00:00:00"/>
    <x v="8"/>
    <s v="N/A"/>
  </r>
  <r>
    <d v="2023-01-13T00:00:00"/>
    <x v="0"/>
    <s v="N/A"/>
  </r>
  <r>
    <d v="2024-08-06T00:00:00"/>
    <x v="2"/>
    <n v="-320"/>
  </r>
  <r>
    <d v="2023-06-06T00:00:00"/>
    <x v="9"/>
    <n v="560"/>
  </r>
  <r>
    <d v="2023-09-10T00:00:00"/>
    <x v="3"/>
    <n v="1520"/>
  </r>
  <r>
    <d v="2023-03-22T00:00:00"/>
    <x v="6"/>
    <n v="2160"/>
  </r>
  <r>
    <d v="2024-10-01T00:00:00"/>
    <x v="7"/>
    <n v="6000"/>
  </r>
  <r>
    <d v="2023-11-17T00:00:00"/>
    <x v="10"/>
    <s v="N/A"/>
  </r>
  <r>
    <d v="2024-09-26T00:00:00"/>
    <x v="3"/>
    <n v="850"/>
  </r>
  <r>
    <d v="2023-05-05T00:00:00"/>
    <x v="4"/>
    <n v="680"/>
  </r>
  <r>
    <d v="2024-09-14T00:00:00"/>
    <x v="3"/>
    <n v="1520"/>
  </r>
  <r>
    <d v="2023-12-12T00:00:00"/>
    <x v="8"/>
    <s v="N/A"/>
  </r>
  <r>
    <d v="2024-02-05T00:00:00"/>
    <x v="11"/>
    <n v="2400"/>
  </r>
  <r>
    <d v="2024-03-12T00:00:00"/>
    <x v="6"/>
    <n v="5950"/>
  </r>
  <r>
    <d v="2023-04-21T00:00:00"/>
    <x v="1"/>
    <s v="N/A"/>
  </r>
  <r>
    <d v="2023-06-16T00:00:00"/>
    <x v="9"/>
    <n v="0"/>
  </r>
  <r>
    <d v="2023-08-31T00:00:00"/>
    <x v="2"/>
    <n v="6000"/>
  </r>
  <r>
    <d v="2023-03-19T00:00:00"/>
    <x v="6"/>
    <s v="N/A"/>
  </r>
  <r>
    <d v="2024-08-23T00:00:00"/>
    <x v="2"/>
    <s v="N/A"/>
  </r>
  <r>
    <d v="2024-01-03T00:00:00"/>
    <x v="0"/>
    <n v="12750"/>
  </r>
  <r>
    <d v="2023-10-25T00:00:00"/>
    <x v="7"/>
    <s v="N/A"/>
  </r>
  <r>
    <d v="2023-07-27T00:00:00"/>
    <x v="5"/>
    <s v="N/A"/>
  </r>
  <r>
    <d v="2024-05-29T00:00:00"/>
    <x v="4"/>
    <n v="1615"/>
  </r>
  <r>
    <d v="2023-01-07T00:00:00"/>
    <x v="0"/>
    <n v="4037.5"/>
  </r>
  <r>
    <d v="2024-06-22T00:00:00"/>
    <x v="9"/>
    <s v="N/A"/>
  </r>
  <r>
    <d v="2023-11-08T00:00:00"/>
    <x v="10"/>
    <s v="N/A"/>
  </r>
  <r>
    <d v="2024-04-27T00:00:00"/>
    <x v="1"/>
    <n v="475"/>
  </r>
  <r>
    <d v="2023-07-24T00:00:00"/>
    <x v="5"/>
    <n v="1615"/>
  </r>
  <r>
    <d v="2024-07-13T00:00:00"/>
    <x v="5"/>
    <s v="N/A"/>
  </r>
  <r>
    <d v="2024-09-23T00:00:00"/>
    <x v="3"/>
    <n v="19000"/>
  </r>
  <r>
    <d v="2023-02-08T00:00:00"/>
    <x v="11"/>
    <n v="3135"/>
  </r>
  <r>
    <d v="2023-01-13T00:00:00"/>
    <x v="0"/>
    <s v="N/A"/>
  </r>
  <r>
    <d v="2023-04-16T00:00:00"/>
    <x v="1"/>
    <n v="2500"/>
  </r>
  <r>
    <d v="2023-10-29T00:00:00"/>
    <x v="7"/>
    <s v="N/A"/>
  </r>
  <r>
    <d v="2024-07-20T00:00:00"/>
    <x v="5"/>
    <n v="1800"/>
  </r>
  <r>
    <d v="2023-06-19T00:00:00"/>
    <x v="9"/>
    <n v="2000"/>
  </r>
  <r>
    <d v="2023-03-05T00:00:00"/>
    <x v="6"/>
    <n v="-320"/>
  </r>
  <r>
    <d v="2024-03-30T00:00:00"/>
    <x v="6"/>
    <n v="640"/>
  </r>
  <r>
    <d v="2023-04-17T00:00:00"/>
    <x v="1"/>
    <s v="N/A"/>
  </r>
  <r>
    <d v="2023-06-04T00:00:00"/>
    <x v="9"/>
    <n v="3500"/>
  </r>
  <r>
    <d v="2024-06-15T00:00:00"/>
    <x v="9"/>
    <s v="N/A"/>
  </r>
  <r>
    <d v="2023-01-28T00:00:00"/>
    <x v="0"/>
    <n v="2805"/>
  </r>
  <r>
    <d v="2023-01-18T00:00:00"/>
    <x v="0"/>
    <n v="7600"/>
  </r>
  <r>
    <d v="2023-07-31T00:00:00"/>
    <x v="5"/>
    <n v="2000"/>
  </r>
  <r>
    <d v="2024-05-13T00:00:00"/>
    <x v="4"/>
    <n v="-1575"/>
  </r>
  <r>
    <d v="2023-11-24T00:00:00"/>
    <x v="10"/>
    <s v="N/A"/>
  </r>
  <r>
    <d v="2024-05-31T00:00:00"/>
    <x v="4"/>
    <n v="5000"/>
  </r>
  <r>
    <d v="2024-07-07T00:00:00"/>
    <x v="5"/>
    <n v="2640"/>
  </r>
  <r>
    <d v="2023-04-20T00:00:00"/>
    <x v="1"/>
    <n v="760"/>
  </r>
  <r>
    <d v="2023-12-03T00:00:00"/>
    <x v="8"/>
    <n v="18000"/>
  </r>
  <r>
    <d v="2024-02-02T00:00:00"/>
    <x v="11"/>
    <s v="N/A"/>
  </r>
  <r>
    <d v="2024-01-02T00:00:00"/>
    <x v="0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2A0D8-1134-455B-AC59-36B66CFA0DB0}" name="PivotTable2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:R13" firstHeaderRow="1" firstDataRow="2" firstDataCol="1"/>
  <pivotFields count="5">
    <pivotField compact="0" outline="0" showAll="0"/>
    <pivotField compact="0" outline="0" showAll="0">
      <items count="9">
        <item x="0"/>
        <item x="5"/>
        <item x="1"/>
        <item x="4"/>
        <item x="6"/>
        <item x="7"/>
        <item x="2"/>
        <item x="3"/>
        <item t="default"/>
      </items>
    </pivotField>
    <pivotField axis="axisCol" compact="0" outline="0" showAll="0" sortType="ascending">
      <items count="9">
        <item x="2"/>
        <item x="3"/>
        <item x="4"/>
        <item x="1"/>
        <item x="0"/>
        <item x="6"/>
        <item x="7"/>
        <item x="5"/>
        <item t="default"/>
      </items>
    </pivotField>
    <pivotField dataField="1" compact="0" outline="0" showAll="0"/>
    <pivotField axis="axisRow" compact="0" outline="0" showAll="0">
      <items count="7">
        <item x="0"/>
        <item x="4"/>
        <item x="3"/>
        <item x="5"/>
        <item x="2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F731E-F636-476B-9A66-06B8BCBD44D3}" name="PivotTable1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6:G19" firstHeaderRow="1" firstDataRow="1" firstDataCol="1"/>
  <pivotFields count="3">
    <pivotField compact="0" numFmtId="14" outline="0" showAll="0"/>
    <pivotField axis="axisRow" compact="0" outline="0" showAll="0">
      <items count="13">
        <item x="0"/>
        <item x="11"/>
        <item x="6"/>
        <item x="1"/>
        <item x="4"/>
        <item x="9"/>
        <item x="5"/>
        <item x="2"/>
        <item x="3"/>
        <item x="7"/>
        <item x="10"/>
        <item x="8"/>
        <item t="default"/>
      </items>
    </pivotField>
    <pivotField dataField="1"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7D61B01-BEBF-4BC9-B1ED-DC8695E823B6}" sourceName="Category">
  <pivotTables>
    <pivotTable tabId="6" name="PivotTable2"/>
  </pivotTables>
  <data>
    <tabular pivotCacheId="192209931">
      <items count="8">
        <i x="0" s="1"/>
        <i x="5" s="1"/>
        <i x="1" s="1"/>
        <i x="4" s="1"/>
        <i x="6" s="1"/>
        <i x="7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3FF57444-1980-4367-AF85-24D678BC527E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workbookViewId="0">
      <pane ySplit="1" topLeftCell="A2" activePane="bottomLeft" state="frozen"/>
      <selection pane="bottomLeft" activeCell="M1" activeCellId="1" sqref="J1:J1048576 M1:M1048576"/>
    </sheetView>
  </sheetViews>
  <sheetFormatPr defaultRowHeight="15"/>
  <cols>
    <col min="1" max="1" width="11.42578125" bestFit="1" customWidth="1"/>
    <col min="2" max="2" width="13.85546875" bestFit="1" customWidth="1"/>
    <col min="3" max="3" width="11.5703125" bestFit="1" customWidth="1"/>
    <col min="4" max="4" width="13.7109375" bestFit="1" customWidth="1"/>
    <col min="5" max="5" width="15.28515625" bestFit="1" customWidth="1"/>
    <col min="6" max="6" width="12.140625" bestFit="1" customWidth="1"/>
    <col min="7" max="7" width="12.85546875" bestFit="1" customWidth="1"/>
    <col min="8" max="8" width="17" bestFit="1" customWidth="1"/>
    <col min="9" max="9" width="20" bestFit="1" customWidth="1"/>
    <col min="10" max="10" width="14.5703125" bestFit="1" customWidth="1"/>
    <col min="11" max="11" width="19" bestFit="1" customWidth="1"/>
    <col min="12" max="12" width="12.85546875" bestFit="1" customWidth="1"/>
    <col min="13" max="13" width="12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>
      <c r="A2" s="2" t="s">
        <v>13</v>
      </c>
      <c r="B2" s="3">
        <v>44956</v>
      </c>
      <c r="C2" s="2" t="s">
        <v>14</v>
      </c>
      <c r="D2" s="2" t="s">
        <v>15</v>
      </c>
      <c r="E2" s="2" t="s">
        <v>16</v>
      </c>
      <c r="F2" s="7">
        <v>10</v>
      </c>
      <c r="G2" s="7">
        <v>1750</v>
      </c>
      <c r="H2" s="7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5" t="s">
        <v>17</v>
      </c>
    </row>
    <row r="3" spans="1:14">
      <c r="A3" s="2" t="s">
        <v>22</v>
      </c>
      <c r="B3" s="3">
        <v>45398</v>
      </c>
      <c r="C3" s="2" t="s">
        <v>23</v>
      </c>
      <c r="D3" s="2" t="s">
        <v>24</v>
      </c>
      <c r="E3" s="2" t="s">
        <v>25</v>
      </c>
      <c r="F3" s="7">
        <v>2</v>
      </c>
      <c r="G3" s="7">
        <v>400</v>
      </c>
      <c r="H3" s="7">
        <v>20</v>
      </c>
      <c r="I3" s="2" t="s">
        <v>26</v>
      </c>
      <c r="J3" s="2" t="s">
        <v>19</v>
      </c>
      <c r="K3" s="2" t="s">
        <v>27</v>
      </c>
      <c r="L3" s="2" t="s">
        <v>28</v>
      </c>
      <c r="M3" s="5">
        <v>640</v>
      </c>
    </row>
    <row r="4" spans="1:14">
      <c r="A4" s="2" t="s">
        <v>29</v>
      </c>
      <c r="B4" s="3">
        <v>45141</v>
      </c>
      <c r="C4" s="2" t="s">
        <v>30</v>
      </c>
      <c r="D4" s="2" t="s">
        <v>31</v>
      </c>
      <c r="E4" s="2" t="s">
        <v>25</v>
      </c>
      <c r="F4" s="7">
        <v>0</v>
      </c>
      <c r="G4" s="7">
        <v>800</v>
      </c>
      <c r="H4" s="7" t="s">
        <v>17</v>
      </c>
      <c r="I4" s="2" t="s">
        <v>17</v>
      </c>
      <c r="J4" s="2" t="s">
        <v>32</v>
      </c>
      <c r="K4" s="2" t="s">
        <v>33</v>
      </c>
      <c r="L4" s="2" t="s">
        <v>21</v>
      </c>
      <c r="M4" s="5" t="s">
        <v>17</v>
      </c>
    </row>
    <row r="5" spans="1:14">
      <c r="A5" s="2" t="s">
        <v>34</v>
      </c>
      <c r="B5" s="3">
        <v>45543</v>
      </c>
      <c r="C5" s="2" t="s">
        <v>35</v>
      </c>
      <c r="D5" s="2" t="s">
        <v>36</v>
      </c>
      <c r="E5" s="2" t="s">
        <v>37</v>
      </c>
      <c r="F5" s="7">
        <v>0</v>
      </c>
      <c r="G5" s="7">
        <v>1100</v>
      </c>
      <c r="H5" s="7">
        <v>0</v>
      </c>
      <c r="I5" s="2" t="s">
        <v>17</v>
      </c>
      <c r="J5" s="2" t="s">
        <v>32</v>
      </c>
      <c r="K5" s="2" t="s">
        <v>38</v>
      </c>
      <c r="L5" s="2" t="s">
        <v>28</v>
      </c>
      <c r="M5" s="5">
        <v>0</v>
      </c>
    </row>
    <row r="6" spans="1:14">
      <c r="A6" s="2" t="s">
        <v>39</v>
      </c>
      <c r="B6" s="3">
        <v>45062</v>
      </c>
      <c r="C6" s="2" t="s">
        <v>40</v>
      </c>
      <c r="D6" s="2" t="s">
        <v>41</v>
      </c>
      <c r="E6" s="2" t="s">
        <v>42</v>
      </c>
      <c r="F6" s="7">
        <v>2</v>
      </c>
      <c r="G6" s="7">
        <v>1500</v>
      </c>
      <c r="H6" s="7">
        <v>5</v>
      </c>
      <c r="I6" s="2" t="s">
        <v>18</v>
      </c>
      <c r="J6" s="2" t="s">
        <v>32</v>
      </c>
      <c r="K6" s="2" t="s">
        <v>43</v>
      </c>
      <c r="L6" s="2" t="s">
        <v>28</v>
      </c>
      <c r="M6" s="5">
        <v>2850</v>
      </c>
    </row>
    <row r="7" spans="1:14">
      <c r="A7" s="2" t="s">
        <v>44</v>
      </c>
      <c r="B7" s="3">
        <v>45417</v>
      </c>
      <c r="C7" s="2" t="s">
        <v>45</v>
      </c>
      <c r="D7" s="2" t="s">
        <v>36</v>
      </c>
      <c r="E7" s="2" t="s">
        <v>46</v>
      </c>
      <c r="F7" s="7">
        <v>5</v>
      </c>
      <c r="G7" s="7">
        <v>1100</v>
      </c>
      <c r="H7" s="7">
        <v>5</v>
      </c>
      <c r="I7" s="2" t="s">
        <v>17</v>
      </c>
      <c r="J7" s="2" t="s">
        <v>47</v>
      </c>
      <c r="K7" s="2" t="s">
        <v>48</v>
      </c>
      <c r="L7" s="2" t="s">
        <v>49</v>
      </c>
      <c r="M7" s="5">
        <v>5225</v>
      </c>
    </row>
    <row r="8" spans="1:14">
      <c r="A8" s="2" t="s">
        <v>50</v>
      </c>
      <c r="B8" s="3">
        <v>45303</v>
      </c>
      <c r="C8" s="2" t="s">
        <v>51</v>
      </c>
      <c r="D8" s="2" t="s">
        <v>52</v>
      </c>
      <c r="E8" s="2" t="s">
        <v>53</v>
      </c>
      <c r="F8" s="7">
        <v>3</v>
      </c>
      <c r="G8" s="7">
        <v>1900</v>
      </c>
      <c r="H8" s="7">
        <v>5</v>
      </c>
      <c r="I8" s="2" t="s">
        <v>54</v>
      </c>
      <c r="J8" s="2" t="s">
        <v>19</v>
      </c>
      <c r="K8" s="2" t="s">
        <v>20</v>
      </c>
      <c r="L8" s="2" t="s">
        <v>28</v>
      </c>
      <c r="M8" s="5">
        <v>5415</v>
      </c>
      <c r="N8" t="e">
        <f>_xlfn.XLOOKUP(Sales_Transactions!C2,Sales_Transactions!C2:C251,Sales_Transactions!C1:C251)</f>
        <v>#VALUE!</v>
      </c>
    </row>
    <row r="9" spans="1:14">
      <c r="A9" s="2" t="s">
        <v>55</v>
      </c>
      <c r="B9" s="3">
        <v>45304</v>
      </c>
      <c r="C9" s="2" t="s">
        <v>56</v>
      </c>
      <c r="D9" s="2" t="s">
        <v>57</v>
      </c>
      <c r="E9" s="2" t="s">
        <v>46</v>
      </c>
      <c r="F9" s="7">
        <v>10</v>
      </c>
      <c r="G9" s="7">
        <v>2000</v>
      </c>
      <c r="H9" s="7" t="s">
        <v>17</v>
      </c>
      <c r="I9" s="2" t="s">
        <v>54</v>
      </c>
      <c r="J9" s="2" t="s">
        <v>19</v>
      </c>
      <c r="K9" s="2" t="s">
        <v>48</v>
      </c>
      <c r="L9" s="2" t="s">
        <v>28</v>
      </c>
      <c r="M9" s="5" t="s">
        <v>17</v>
      </c>
    </row>
    <row r="10" spans="1:14">
      <c r="A10" s="2" t="s">
        <v>58</v>
      </c>
      <c r="B10" s="3">
        <v>45499</v>
      </c>
      <c r="C10" s="2" t="s">
        <v>59</v>
      </c>
      <c r="D10" s="2" t="s">
        <v>52</v>
      </c>
      <c r="E10" s="2" t="s">
        <v>46</v>
      </c>
      <c r="F10" s="7">
        <v>10</v>
      </c>
      <c r="G10" s="7">
        <v>1900</v>
      </c>
      <c r="H10" s="7">
        <v>15</v>
      </c>
      <c r="I10" s="2" t="s">
        <v>60</v>
      </c>
      <c r="J10" s="2" t="s">
        <v>47</v>
      </c>
      <c r="K10" s="2" t="s">
        <v>27</v>
      </c>
      <c r="L10" s="2" t="s">
        <v>21</v>
      </c>
      <c r="M10" s="5">
        <v>16150</v>
      </c>
    </row>
    <row r="11" spans="1:14">
      <c r="A11" s="2" t="s">
        <v>61</v>
      </c>
      <c r="B11" s="3">
        <v>45392</v>
      </c>
      <c r="C11" s="2" t="s">
        <v>62</v>
      </c>
      <c r="D11" s="2" t="s">
        <v>63</v>
      </c>
      <c r="E11" s="2" t="s">
        <v>53</v>
      </c>
      <c r="F11" s="7">
        <v>5</v>
      </c>
      <c r="G11" s="7">
        <v>2200</v>
      </c>
      <c r="H11" s="7" t="s">
        <v>17</v>
      </c>
      <c r="I11" s="2" t="s">
        <v>54</v>
      </c>
      <c r="J11" s="2" t="s">
        <v>19</v>
      </c>
      <c r="K11" s="2" t="s">
        <v>20</v>
      </c>
      <c r="L11" s="2" t="s">
        <v>28</v>
      </c>
      <c r="M11" s="5" t="s">
        <v>17</v>
      </c>
    </row>
    <row r="12" spans="1:14">
      <c r="A12" s="2" t="s">
        <v>64</v>
      </c>
      <c r="B12" s="3">
        <v>45483</v>
      </c>
      <c r="C12" s="2" t="s">
        <v>65</v>
      </c>
      <c r="D12" s="2" t="s">
        <v>36</v>
      </c>
      <c r="E12" s="2" t="s">
        <v>16</v>
      </c>
      <c r="F12" s="7">
        <v>4</v>
      </c>
      <c r="G12" s="7">
        <v>1100</v>
      </c>
      <c r="H12" s="7">
        <v>5</v>
      </c>
      <c r="I12" s="2" t="s">
        <v>26</v>
      </c>
      <c r="J12" s="2" t="s">
        <v>19</v>
      </c>
      <c r="K12" s="2" t="s">
        <v>38</v>
      </c>
      <c r="L12" s="2" t="s">
        <v>21</v>
      </c>
      <c r="M12" s="5">
        <v>4180</v>
      </c>
    </row>
    <row r="13" spans="1:14">
      <c r="A13" s="2" t="s">
        <v>66</v>
      </c>
      <c r="B13" s="3">
        <v>45310</v>
      </c>
      <c r="C13" s="2" t="s">
        <v>67</v>
      </c>
      <c r="D13" s="2" t="s">
        <v>68</v>
      </c>
      <c r="E13" s="2" t="s">
        <v>69</v>
      </c>
      <c r="F13" s="7">
        <v>3</v>
      </c>
      <c r="G13" s="7">
        <v>1200</v>
      </c>
      <c r="H13" s="7">
        <v>5</v>
      </c>
      <c r="I13" s="2" t="s">
        <v>18</v>
      </c>
      <c r="J13" s="2" t="s">
        <v>19</v>
      </c>
      <c r="K13" s="2" t="s">
        <v>38</v>
      </c>
      <c r="L13" s="2" t="s">
        <v>49</v>
      </c>
      <c r="M13" s="5">
        <v>3420</v>
      </c>
    </row>
    <row r="14" spans="1:14">
      <c r="A14" s="2" t="s">
        <v>70</v>
      </c>
      <c r="B14" s="3">
        <v>45479</v>
      </c>
      <c r="C14" s="2" t="s">
        <v>71</v>
      </c>
      <c r="D14" s="2" t="s">
        <v>72</v>
      </c>
      <c r="E14" s="2" t="s">
        <v>73</v>
      </c>
      <c r="F14" s="7">
        <v>4</v>
      </c>
      <c r="G14" s="7">
        <v>500</v>
      </c>
      <c r="H14" s="7">
        <v>5</v>
      </c>
      <c r="I14" s="2" t="s">
        <v>17</v>
      </c>
      <c r="J14" s="2" t="s">
        <v>74</v>
      </c>
      <c r="K14" s="2" t="s">
        <v>75</v>
      </c>
      <c r="L14" s="2" t="s">
        <v>28</v>
      </c>
      <c r="M14" s="5">
        <v>1900</v>
      </c>
    </row>
    <row r="15" spans="1:14">
      <c r="A15" s="2" t="s">
        <v>76</v>
      </c>
      <c r="B15" s="3">
        <v>45368</v>
      </c>
      <c r="C15" s="2" t="s">
        <v>62</v>
      </c>
      <c r="D15" s="2" t="s">
        <v>31</v>
      </c>
      <c r="E15" s="2" t="s">
        <v>53</v>
      </c>
      <c r="F15" s="7">
        <v>-1</v>
      </c>
      <c r="G15" s="7">
        <v>800</v>
      </c>
      <c r="H15" s="7" t="s">
        <v>17</v>
      </c>
      <c r="I15" s="2" t="s">
        <v>26</v>
      </c>
      <c r="J15" s="2" t="s">
        <v>19</v>
      </c>
      <c r="K15" s="2" t="s">
        <v>48</v>
      </c>
      <c r="L15" s="2" t="s">
        <v>49</v>
      </c>
      <c r="M15" s="5" t="s">
        <v>17</v>
      </c>
    </row>
    <row r="16" spans="1:14">
      <c r="A16" s="2" t="s">
        <v>77</v>
      </c>
      <c r="B16" s="3">
        <v>45225</v>
      </c>
      <c r="C16" s="2" t="s">
        <v>78</v>
      </c>
      <c r="D16" s="2" t="s">
        <v>79</v>
      </c>
      <c r="E16" s="2" t="s">
        <v>73</v>
      </c>
      <c r="F16" s="7">
        <v>1</v>
      </c>
      <c r="G16" s="7">
        <v>950</v>
      </c>
      <c r="H16" s="7">
        <v>0</v>
      </c>
      <c r="I16" s="2" t="s">
        <v>17</v>
      </c>
      <c r="J16" s="2" t="s">
        <v>32</v>
      </c>
      <c r="K16" s="2" t="s">
        <v>33</v>
      </c>
      <c r="L16" s="2" t="s">
        <v>28</v>
      </c>
      <c r="M16" s="5">
        <v>950</v>
      </c>
    </row>
    <row r="17" spans="1:13">
      <c r="A17" s="2" t="s">
        <v>80</v>
      </c>
      <c r="B17" s="3">
        <v>45139</v>
      </c>
      <c r="C17" s="2" t="s">
        <v>81</v>
      </c>
      <c r="D17" s="2" t="s">
        <v>79</v>
      </c>
      <c r="E17" s="2" t="s">
        <v>37</v>
      </c>
      <c r="F17" s="7">
        <v>5</v>
      </c>
      <c r="G17" s="7">
        <v>950</v>
      </c>
      <c r="H17" s="7">
        <v>5</v>
      </c>
      <c r="I17" s="2" t="s">
        <v>60</v>
      </c>
      <c r="J17" s="2" t="s">
        <v>82</v>
      </c>
      <c r="K17" s="2" t="s">
        <v>20</v>
      </c>
      <c r="L17" s="2" t="s">
        <v>28</v>
      </c>
      <c r="M17" s="5">
        <v>4512.5</v>
      </c>
    </row>
    <row r="18" spans="1:13">
      <c r="A18" s="2" t="s">
        <v>83</v>
      </c>
      <c r="B18" s="3">
        <v>45198</v>
      </c>
      <c r="C18" s="2" t="s">
        <v>84</v>
      </c>
      <c r="D18" s="2" t="s">
        <v>72</v>
      </c>
      <c r="E18" s="2" t="s">
        <v>85</v>
      </c>
      <c r="F18" s="7">
        <v>0</v>
      </c>
      <c r="G18" s="7">
        <v>500</v>
      </c>
      <c r="H18" s="7" t="s">
        <v>17</v>
      </c>
      <c r="I18" s="2" t="s">
        <v>54</v>
      </c>
      <c r="J18" s="2" t="s">
        <v>19</v>
      </c>
      <c r="K18" s="2" t="s">
        <v>43</v>
      </c>
      <c r="L18" s="2" t="s">
        <v>28</v>
      </c>
      <c r="M18" s="5" t="s">
        <v>17</v>
      </c>
    </row>
    <row r="19" spans="1:13">
      <c r="A19" s="2" t="s">
        <v>86</v>
      </c>
      <c r="B19" s="3">
        <v>45556</v>
      </c>
      <c r="C19" s="2" t="s">
        <v>84</v>
      </c>
      <c r="D19" s="2" t="s">
        <v>36</v>
      </c>
      <c r="E19" s="2" t="s">
        <v>87</v>
      </c>
      <c r="F19" s="7">
        <v>3</v>
      </c>
      <c r="G19" s="7">
        <v>1100</v>
      </c>
      <c r="H19" s="7">
        <v>0</v>
      </c>
      <c r="I19" s="2" t="s">
        <v>26</v>
      </c>
      <c r="J19" s="2" t="s">
        <v>88</v>
      </c>
      <c r="K19" s="2" t="s">
        <v>38</v>
      </c>
      <c r="L19" s="2" t="s">
        <v>28</v>
      </c>
      <c r="M19" s="5">
        <v>3300</v>
      </c>
    </row>
    <row r="20" spans="1:13">
      <c r="A20" s="2" t="s">
        <v>89</v>
      </c>
      <c r="B20" s="3">
        <v>45134</v>
      </c>
      <c r="C20" s="2" t="s">
        <v>90</v>
      </c>
      <c r="D20" s="2" t="s">
        <v>91</v>
      </c>
      <c r="E20" s="2" t="s">
        <v>69</v>
      </c>
      <c r="F20" s="7">
        <v>2</v>
      </c>
      <c r="G20" s="7">
        <v>700</v>
      </c>
      <c r="H20" s="7" t="s">
        <v>17</v>
      </c>
      <c r="I20" s="2" t="s">
        <v>54</v>
      </c>
      <c r="J20" s="2" t="s">
        <v>32</v>
      </c>
      <c r="K20" s="2" t="s">
        <v>48</v>
      </c>
      <c r="L20" s="2" t="s">
        <v>28</v>
      </c>
      <c r="M20" s="5" t="s">
        <v>17</v>
      </c>
    </row>
    <row r="21" spans="1:13">
      <c r="A21" s="2" t="s">
        <v>92</v>
      </c>
      <c r="B21" s="3">
        <v>45280</v>
      </c>
      <c r="C21" s="2" t="s">
        <v>30</v>
      </c>
      <c r="D21" s="2" t="s">
        <v>36</v>
      </c>
      <c r="E21" s="2" t="s">
        <v>87</v>
      </c>
      <c r="F21" s="7">
        <v>2</v>
      </c>
      <c r="G21" s="7">
        <v>1100</v>
      </c>
      <c r="H21" s="7" t="s">
        <v>17</v>
      </c>
      <c r="I21" s="2" t="s">
        <v>54</v>
      </c>
      <c r="J21" s="2" t="s">
        <v>74</v>
      </c>
      <c r="K21" s="2" t="s">
        <v>48</v>
      </c>
      <c r="L21" s="2" t="s">
        <v>49</v>
      </c>
      <c r="M21" s="5" t="s">
        <v>17</v>
      </c>
    </row>
    <row r="22" spans="1:13">
      <c r="A22" s="2" t="s">
        <v>93</v>
      </c>
      <c r="B22" s="3">
        <v>45279</v>
      </c>
      <c r="C22" s="2" t="s">
        <v>94</v>
      </c>
      <c r="D22" s="2" t="s">
        <v>72</v>
      </c>
      <c r="E22" s="2" t="s">
        <v>69</v>
      </c>
      <c r="F22" s="7">
        <v>-1</v>
      </c>
      <c r="G22" s="7">
        <v>500</v>
      </c>
      <c r="H22" s="7">
        <v>10</v>
      </c>
      <c r="I22" s="2" t="s">
        <v>17</v>
      </c>
      <c r="J22" s="2" t="s">
        <v>88</v>
      </c>
      <c r="K22" s="2" t="s">
        <v>27</v>
      </c>
      <c r="L22" s="2" t="s">
        <v>21</v>
      </c>
      <c r="M22" s="5">
        <v>-450</v>
      </c>
    </row>
    <row r="23" spans="1:13">
      <c r="A23" s="2" t="s">
        <v>95</v>
      </c>
      <c r="B23" s="3">
        <v>45474</v>
      </c>
      <c r="C23" s="2" t="s">
        <v>96</v>
      </c>
      <c r="D23" s="2" t="s">
        <v>72</v>
      </c>
      <c r="E23" s="2" t="s">
        <v>97</v>
      </c>
      <c r="F23" s="7">
        <v>0</v>
      </c>
      <c r="G23" s="7">
        <v>500</v>
      </c>
      <c r="H23" s="7">
        <v>0</v>
      </c>
      <c r="I23" s="2" t="s">
        <v>98</v>
      </c>
      <c r="J23" s="2" t="s">
        <v>19</v>
      </c>
      <c r="K23" s="2" t="s">
        <v>27</v>
      </c>
      <c r="L23" s="2" t="s">
        <v>21</v>
      </c>
      <c r="M23" s="5">
        <v>0</v>
      </c>
    </row>
    <row r="24" spans="1:13">
      <c r="A24" s="2" t="s">
        <v>99</v>
      </c>
      <c r="B24" s="3">
        <v>45158</v>
      </c>
      <c r="C24" s="2" t="s">
        <v>94</v>
      </c>
      <c r="D24" s="2" t="s">
        <v>52</v>
      </c>
      <c r="E24" s="2" t="s">
        <v>25</v>
      </c>
      <c r="F24" s="7">
        <v>1</v>
      </c>
      <c r="G24" s="7">
        <v>1900</v>
      </c>
      <c r="H24" s="7">
        <v>0</v>
      </c>
      <c r="I24" s="2" t="s">
        <v>26</v>
      </c>
      <c r="J24" s="2" t="s">
        <v>88</v>
      </c>
      <c r="K24" s="2" t="s">
        <v>75</v>
      </c>
      <c r="L24" s="2" t="s">
        <v>49</v>
      </c>
      <c r="M24" s="5">
        <v>1900</v>
      </c>
    </row>
    <row r="25" spans="1:13">
      <c r="A25" s="2" t="s">
        <v>100</v>
      </c>
      <c r="B25" s="3">
        <v>44956</v>
      </c>
      <c r="C25" s="2" t="s">
        <v>101</v>
      </c>
      <c r="D25" s="2" t="s">
        <v>91</v>
      </c>
      <c r="E25" s="2" t="s">
        <v>85</v>
      </c>
      <c r="F25" s="7">
        <v>2</v>
      </c>
      <c r="G25" s="7">
        <v>700</v>
      </c>
      <c r="H25" s="7">
        <v>15</v>
      </c>
      <c r="I25" s="2" t="s">
        <v>26</v>
      </c>
      <c r="J25" s="2" t="s">
        <v>19</v>
      </c>
      <c r="K25" s="2" t="s">
        <v>27</v>
      </c>
      <c r="L25" s="2" t="s">
        <v>49</v>
      </c>
      <c r="M25" s="5">
        <v>1190</v>
      </c>
    </row>
    <row r="26" spans="1:13">
      <c r="A26" s="2" t="s">
        <v>102</v>
      </c>
      <c r="B26" s="3">
        <v>44936</v>
      </c>
      <c r="C26" s="2" t="s">
        <v>103</v>
      </c>
      <c r="D26" s="2" t="s">
        <v>63</v>
      </c>
      <c r="E26" s="2" t="s">
        <v>42</v>
      </c>
      <c r="F26" s="7">
        <v>2</v>
      </c>
      <c r="G26" s="7">
        <v>2200</v>
      </c>
      <c r="H26" s="7">
        <v>10</v>
      </c>
      <c r="I26" s="2" t="s">
        <v>26</v>
      </c>
      <c r="J26" s="2" t="s">
        <v>19</v>
      </c>
      <c r="K26" s="2" t="s">
        <v>27</v>
      </c>
      <c r="L26" s="2" t="s">
        <v>49</v>
      </c>
      <c r="M26" s="5">
        <v>3960</v>
      </c>
    </row>
    <row r="27" spans="1:13">
      <c r="A27" s="2" t="s">
        <v>104</v>
      </c>
      <c r="B27" s="3">
        <v>45451</v>
      </c>
      <c r="C27" s="2" t="s">
        <v>59</v>
      </c>
      <c r="D27" s="2" t="s">
        <v>79</v>
      </c>
      <c r="E27" s="2" t="s">
        <v>16</v>
      </c>
      <c r="F27" s="7">
        <v>2</v>
      </c>
      <c r="G27" s="7">
        <v>950</v>
      </c>
      <c r="H27" s="7" t="s">
        <v>17</v>
      </c>
      <c r="I27" s="2" t="s">
        <v>98</v>
      </c>
      <c r="J27" s="2" t="s">
        <v>82</v>
      </c>
      <c r="K27" s="2" t="s">
        <v>48</v>
      </c>
      <c r="L27" s="2" t="s">
        <v>49</v>
      </c>
      <c r="M27" s="5" t="s">
        <v>17</v>
      </c>
    </row>
    <row r="28" spans="1:13">
      <c r="A28" s="2" t="s">
        <v>105</v>
      </c>
      <c r="B28" s="3">
        <v>45180</v>
      </c>
      <c r="C28" s="2" t="s">
        <v>106</v>
      </c>
      <c r="D28" s="2" t="s">
        <v>15</v>
      </c>
      <c r="E28" s="2" t="s">
        <v>42</v>
      </c>
      <c r="F28" s="7">
        <v>1</v>
      </c>
      <c r="G28" s="7">
        <v>1750</v>
      </c>
      <c r="H28" s="7" t="s">
        <v>17</v>
      </c>
      <c r="I28" s="2" t="s">
        <v>60</v>
      </c>
      <c r="J28" s="2" t="s">
        <v>47</v>
      </c>
      <c r="K28" s="2" t="s">
        <v>48</v>
      </c>
      <c r="L28" s="2" t="s">
        <v>49</v>
      </c>
      <c r="M28" s="5" t="s">
        <v>17</v>
      </c>
    </row>
    <row r="29" spans="1:13">
      <c r="A29" s="2" t="s">
        <v>107</v>
      </c>
      <c r="B29" s="3">
        <v>45277</v>
      </c>
      <c r="C29" s="2" t="s">
        <v>96</v>
      </c>
      <c r="D29" s="2" t="s">
        <v>72</v>
      </c>
      <c r="E29" s="2" t="s">
        <v>53</v>
      </c>
      <c r="F29" s="7">
        <v>4</v>
      </c>
      <c r="G29" s="7">
        <v>500</v>
      </c>
      <c r="H29" s="7">
        <v>15</v>
      </c>
      <c r="I29" s="2" t="s">
        <v>17</v>
      </c>
      <c r="J29" s="2" t="s">
        <v>88</v>
      </c>
      <c r="K29" s="2" t="s">
        <v>27</v>
      </c>
      <c r="L29" s="2" t="s">
        <v>21</v>
      </c>
      <c r="M29" s="5">
        <v>1700</v>
      </c>
    </row>
    <row r="30" spans="1:13">
      <c r="A30" s="2" t="s">
        <v>108</v>
      </c>
      <c r="B30" s="3">
        <v>45088</v>
      </c>
      <c r="C30" s="2" t="s">
        <v>109</v>
      </c>
      <c r="D30" s="2" t="s">
        <v>57</v>
      </c>
      <c r="E30" s="2" t="s">
        <v>73</v>
      </c>
      <c r="F30" s="7">
        <v>2</v>
      </c>
      <c r="G30" s="7">
        <v>2000</v>
      </c>
      <c r="H30" s="7" t="s">
        <v>17</v>
      </c>
      <c r="I30" s="2" t="s">
        <v>60</v>
      </c>
      <c r="J30" s="2" t="s">
        <v>32</v>
      </c>
      <c r="K30" s="2" t="s">
        <v>48</v>
      </c>
      <c r="L30" s="2" t="s">
        <v>28</v>
      </c>
      <c r="M30" s="5" t="s">
        <v>17</v>
      </c>
    </row>
    <row r="31" spans="1:13">
      <c r="A31" s="2" t="s">
        <v>110</v>
      </c>
      <c r="B31" s="3">
        <v>45084</v>
      </c>
      <c r="C31" s="2" t="s">
        <v>111</v>
      </c>
      <c r="D31" s="2" t="s">
        <v>91</v>
      </c>
      <c r="E31" s="2" t="s">
        <v>112</v>
      </c>
      <c r="F31" s="7">
        <v>4</v>
      </c>
      <c r="G31" s="7">
        <v>700</v>
      </c>
      <c r="H31" s="7">
        <v>0</v>
      </c>
      <c r="I31" s="2" t="s">
        <v>18</v>
      </c>
      <c r="J31" s="2" t="s">
        <v>19</v>
      </c>
      <c r="K31" s="2" t="s">
        <v>27</v>
      </c>
      <c r="L31" s="2" t="s">
        <v>28</v>
      </c>
      <c r="M31" s="5">
        <v>2800</v>
      </c>
    </row>
    <row r="32" spans="1:13">
      <c r="A32" s="2" t="s">
        <v>113</v>
      </c>
      <c r="B32" s="3">
        <v>45130</v>
      </c>
      <c r="C32" s="2" t="s">
        <v>114</v>
      </c>
      <c r="D32" s="2" t="s">
        <v>79</v>
      </c>
      <c r="E32" s="2" t="s">
        <v>46</v>
      </c>
      <c r="F32" s="7">
        <v>4</v>
      </c>
      <c r="G32" s="7">
        <v>950</v>
      </c>
      <c r="H32" s="7" t="s">
        <v>17</v>
      </c>
      <c r="I32" s="2" t="s">
        <v>54</v>
      </c>
      <c r="J32" s="2" t="s">
        <v>88</v>
      </c>
      <c r="K32" s="2" t="s">
        <v>48</v>
      </c>
      <c r="L32" s="2" t="s">
        <v>28</v>
      </c>
      <c r="M32" s="5" t="s">
        <v>17</v>
      </c>
    </row>
    <row r="33" spans="1:13">
      <c r="A33" s="2" t="s">
        <v>115</v>
      </c>
      <c r="B33" s="3">
        <v>45452</v>
      </c>
      <c r="C33" s="2" t="s">
        <v>78</v>
      </c>
      <c r="D33" s="2" t="s">
        <v>91</v>
      </c>
      <c r="E33" s="2" t="s">
        <v>85</v>
      </c>
      <c r="F33" s="7">
        <v>4</v>
      </c>
      <c r="G33" s="7">
        <v>700</v>
      </c>
      <c r="H33" s="7" t="s">
        <v>17</v>
      </c>
      <c r="I33" s="2" t="s">
        <v>26</v>
      </c>
      <c r="J33" s="2" t="s">
        <v>19</v>
      </c>
      <c r="K33" s="2" t="s">
        <v>20</v>
      </c>
      <c r="L33" s="2" t="s">
        <v>21</v>
      </c>
      <c r="M33" s="5" t="s">
        <v>17</v>
      </c>
    </row>
    <row r="34" spans="1:13">
      <c r="A34" s="2" t="s">
        <v>116</v>
      </c>
      <c r="B34" s="3">
        <v>45277</v>
      </c>
      <c r="C34" s="2" t="s">
        <v>35</v>
      </c>
      <c r="D34" s="2" t="s">
        <v>63</v>
      </c>
      <c r="E34" s="2" t="s">
        <v>69</v>
      </c>
      <c r="F34" s="7">
        <v>3</v>
      </c>
      <c r="G34" s="7">
        <v>2200</v>
      </c>
      <c r="H34" s="7" t="s">
        <v>17</v>
      </c>
      <c r="I34" s="2" t="s">
        <v>26</v>
      </c>
      <c r="J34" s="2" t="s">
        <v>19</v>
      </c>
      <c r="K34" s="2" t="s">
        <v>27</v>
      </c>
      <c r="L34" s="2" t="s">
        <v>28</v>
      </c>
      <c r="M34" s="5" t="s">
        <v>17</v>
      </c>
    </row>
    <row r="35" spans="1:13">
      <c r="A35" s="2" t="s">
        <v>117</v>
      </c>
      <c r="B35" s="3">
        <v>45475</v>
      </c>
      <c r="C35" s="2" t="s">
        <v>111</v>
      </c>
      <c r="D35" s="2" t="s">
        <v>31</v>
      </c>
      <c r="E35" s="2" t="s">
        <v>97</v>
      </c>
      <c r="F35" s="7">
        <v>5</v>
      </c>
      <c r="G35" s="7">
        <v>800</v>
      </c>
      <c r="H35" s="7">
        <v>20</v>
      </c>
      <c r="I35" s="2" t="s">
        <v>18</v>
      </c>
      <c r="J35" s="2" t="s">
        <v>32</v>
      </c>
      <c r="K35" s="2" t="s">
        <v>43</v>
      </c>
      <c r="L35" s="2" t="s">
        <v>21</v>
      </c>
      <c r="M35" s="5">
        <v>3200</v>
      </c>
    </row>
    <row r="36" spans="1:13">
      <c r="A36" s="2" t="s">
        <v>118</v>
      </c>
      <c r="B36" s="3">
        <v>45070</v>
      </c>
      <c r="C36" s="2" t="s">
        <v>45</v>
      </c>
      <c r="D36" s="2" t="s">
        <v>72</v>
      </c>
      <c r="E36" s="2" t="s">
        <v>87</v>
      </c>
      <c r="F36" s="7">
        <v>10</v>
      </c>
      <c r="G36" s="7">
        <v>500</v>
      </c>
      <c r="H36" s="7">
        <v>20</v>
      </c>
      <c r="I36" s="2" t="s">
        <v>60</v>
      </c>
      <c r="J36" s="2" t="s">
        <v>88</v>
      </c>
      <c r="K36" s="2" t="s">
        <v>75</v>
      </c>
      <c r="L36" s="2" t="s">
        <v>49</v>
      </c>
      <c r="M36" s="5">
        <v>4000</v>
      </c>
    </row>
    <row r="37" spans="1:13">
      <c r="A37" s="2" t="s">
        <v>119</v>
      </c>
      <c r="B37" s="3">
        <v>45448</v>
      </c>
      <c r="C37" s="2" t="s">
        <v>120</v>
      </c>
      <c r="D37" s="2" t="s">
        <v>36</v>
      </c>
      <c r="E37" s="2" t="s">
        <v>87</v>
      </c>
      <c r="F37" s="7">
        <v>4</v>
      </c>
      <c r="G37" s="7">
        <v>1100</v>
      </c>
      <c r="H37" s="7" t="s">
        <v>17</v>
      </c>
      <c r="I37" s="2" t="s">
        <v>18</v>
      </c>
      <c r="J37" s="2" t="s">
        <v>47</v>
      </c>
      <c r="K37" s="2" t="s">
        <v>33</v>
      </c>
      <c r="L37" s="2" t="s">
        <v>21</v>
      </c>
      <c r="M37" s="5" t="s">
        <v>17</v>
      </c>
    </row>
    <row r="38" spans="1:13">
      <c r="A38" s="2" t="s">
        <v>121</v>
      </c>
      <c r="B38" s="3">
        <v>45208</v>
      </c>
      <c r="C38" s="2" t="s">
        <v>122</v>
      </c>
      <c r="D38" s="2" t="s">
        <v>91</v>
      </c>
      <c r="E38" s="2" t="s">
        <v>46</v>
      </c>
      <c r="F38" s="7">
        <v>1</v>
      </c>
      <c r="G38" s="7">
        <v>700</v>
      </c>
      <c r="H38" s="7" t="s">
        <v>17</v>
      </c>
      <c r="I38" s="2" t="s">
        <v>17</v>
      </c>
      <c r="J38" s="2" t="s">
        <v>19</v>
      </c>
      <c r="K38" s="2" t="s">
        <v>48</v>
      </c>
      <c r="L38" s="2" t="s">
        <v>28</v>
      </c>
      <c r="M38" s="5" t="s">
        <v>17</v>
      </c>
    </row>
    <row r="39" spans="1:13">
      <c r="A39" s="2" t="s">
        <v>123</v>
      </c>
      <c r="B39" s="3">
        <v>45518</v>
      </c>
      <c r="C39" s="2" t="s">
        <v>124</v>
      </c>
      <c r="D39" s="2" t="s">
        <v>36</v>
      </c>
      <c r="E39" s="2" t="s">
        <v>42</v>
      </c>
      <c r="F39" s="7">
        <v>-1</v>
      </c>
      <c r="G39" s="7">
        <v>1100</v>
      </c>
      <c r="H39" s="7">
        <v>10</v>
      </c>
      <c r="I39" s="2" t="s">
        <v>60</v>
      </c>
      <c r="J39" s="2" t="s">
        <v>47</v>
      </c>
      <c r="K39" s="2" t="s">
        <v>20</v>
      </c>
      <c r="L39" s="2" t="s">
        <v>49</v>
      </c>
      <c r="M39" s="5">
        <v>-990</v>
      </c>
    </row>
    <row r="40" spans="1:13">
      <c r="A40" s="2" t="s">
        <v>125</v>
      </c>
      <c r="B40" s="3">
        <v>45238</v>
      </c>
      <c r="C40" s="2" t="s">
        <v>120</v>
      </c>
      <c r="D40" s="2" t="s">
        <v>52</v>
      </c>
      <c r="E40" s="2" t="s">
        <v>85</v>
      </c>
      <c r="F40" s="7">
        <v>10</v>
      </c>
      <c r="G40" s="7">
        <v>1900</v>
      </c>
      <c r="H40" s="7" t="s">
        <v>17</v>
      </c>
      <c r="I40" s="2" t="s">
        <v>60</v>
      </c>
      <c r="J40" s="2" t="s">
        <v>19</v>
      </c>
      <c r="K40" s="2" t="s">
        <v>20</v>
      </c>
      <c r="L40" s="2" t="s">
        <v>49</v>
      </c>
      <c r="M40" s="5" t="s">
        <v>17</v>
      </c>
    </row>
    <row r="41" spans="1:13">
      <c r="A41" s="2" t="s">
        <v>126</v>
      </c>
      <c r="B41" s="3">
        <v>45336</v>
      </c>
      <c r="C41" s="2" t="s">
        <v>127</v>
      </c>
      <c r="D41" s="2" t="s">
        <v>79</v>
      </c>
      <c r="E41" s="2" t="s">
        <v>16</v>
      </c>
      <c r="F41" s="7">
        <v>5</v>
      </c>
      <c r="G41" s="7">
        <v>950</v>
      </c>
      <c r="H41" s="7" t="s">
        <v>17</v>
      </c>
      <c r="I41" s="2" t="s">
        <v>17</v>
      </c>
      <c r="J41" s="2" t="s">
        <v>32</v>
      </c>
      <c r="K41" s="2" t="s">
        <v>43</v>
      </c>
      <c r="L41" s="2" t="s">
        <v>49</v>
      </c>
      <c r="M41" s="5" t="s">
        <v>17</v>
      </c>
    </row>
    <row r="42" spans="1:13">
      <c r="A42" s="2" t="s">
        <v>128</v>
      </c>
      <c r="B42" s="3">
        <v>45538</v>
      </c>
      <c r="C42" s="2" t="s">
        <v>14</v>
      </c>
      <c r="D42" s="2" t="s">
        <v>41</v>
      </c>
      <c r="E42" s="2" t="s">
        <v>46</v>
      </c>
      <c r="F42" s="7">
        <v>1</v>
      </c>
      <c r="G42" s="7">
        <v>1500</v>
      </c>
      <c r="H42" s="7" t="s">
        <v>17</v>
      </c>
      <c r="I42" s="2" t="s">
        <v>54</v>
      </c>
      <c r="J42" s="2" t="s">
        <v>32</v>
      </c>
      <c r="K42" s="2" t="s">
        <v>75</v>
      </c>
      <c r="L42" s="2" t="s">
        <v>28</v>
      </c>
      <c r="M42" s="5" t="s">
        <v>17</v>
      </c>
    </row>
    <row r="43" spans="1:13">
      <c r="A43" s="2" t="s">
        <v>129</v>
      </c>
      <c r="B43" s="3">
        <v>44943</v>
      </c>
      <c r="C43" s="2" t="s">
        <v>23</v>
      </c>
      <c r="D43" s="2" t="s">
        <v>79</v>
      </c>
      <c r="E43" s="2" t="s">
        <v>97</v>
      </c>
      <c r="F43" s="7">
        <v>1</v>
      </c>
      <c r="G43" s="7">
        <v>950</v>
      </c>
      <c r="H43" s="7" t="s">
        <v>17</v>
      </c>
      <c r="I43" s="2" t="s">
        <v>26</v>
      </c>
      <c r="J43" s="2" t="s">
        <v>19</v>
      </c>
      <c r="K43" s="2" t="s">
        <v>38</v>
      </c>
      <c r="L43" s="2" t="s">
        <v>21</v>
      </c>
      <c r="M43" s="5" t="s">
        <v>17</v>
      </c>
    </row>
    <row r="44" spans="1:13">
      <c r="A44" s="2" t="s">
        <v>130</v>
      </c>
      <c r="B44" s="3">
        <v>45038</v>
      </c>
      <c r="C44" s="2" t="s">
        <v>131</v>
      </c>
      <c r="D44" s="2" t="s">
        <v>57</v>
      </c>
      <c r="E44" s="2" t="s">
        <v>53</v>
      </c>
      <c r="F44" s="7">
        <v>2</v>
      </c>
      <c r="G44" s="7">
        <v>2000</v>
      </c>
      <c r="H44" s="7">
        <v>0</v>
      </c>
      <c r="I44" s="2" t="s">
        <v>98</v>
      </c>
      <c r="J44" s="2" t="s">
        <v>74</v>
      </c>
      <c r="K44" s="2" t="s">
        <v>20</v>
      </c>
      <c r="L44" s="2" t="s">
        <v>28</v>
      </c>
      <c r="M44" s="5">
        <v>4000</v>
      </c>
    </row>
    <row r="45" spans="1:13">
      <c r="A45" s="2" t="s">
        <v>132</v>
      </c>
      <c r="B45" s="3">
        <v>45460</v>
      </c>
      <c r="C45" s="2" t="s">
        <v>78</v>
      </c>
      <c r="D45" s="2" t="s">
        <v>63</v>
      </c>
      <c r="E45" s="2" t="s">
        <v>25</v>
      </c>
      <c r="F45" s="7">
        <v>4</v>
      </c>
      <c r="G45" s="7">
        <v>2200</v>
      </c>
      <c r="H45" s="7" t="s">
        <v>17</v>
      </c>
      <c r="I45" s="2" t="s">
        <v>26</v>
      </c>
      <c r="J45" s="2" t="s">
        <v>32</v>
      </c>
      <c r="K45" s="2" t="s">
        <v>43</v>
      </c>
      <c r="L45" s="2" t="s">
        <v>49</v>
      </c>
      <c r="M45" s="5" t="s">
        <v>17</v>
      </c>
    </row>
    <row r="46" spans="1:13">
      <c r="A46" s="2" t="s">
        <v>133</v>
      </c>
      <c r="B46" s="3">
        <v>44997</v>
      </c>
      <c r="C46" s="2" t="s">
        <v>40</v>
      </c>
      <c r="D46" s="2" t="s">
        <v>72</v>
      </c>
      <c r="E46" s="2" t="s">
        <v>53</v>
      </c>
      <c r="F46" s="7">
        <v>0</v>
      </c>
      <c r="G46" s="7">
        <v>500</v>
      </c>
      <c r="H46" s="7">
        <v>10</v>
      </c>
      <c r="I46" s="2" t="s">
        <v>18</v>
      </c>
      <c r="J46" s="2" t="s">
        <v>47</v>
      </c>
      <c r="K46" s="2" t="s">
        <v>20</v>
      </c>
      <c r="L46" s="2" t="s">
        <v>28</v>
      </c>
      <c r="M46" s="5">
        <v>0</v>
      </c>
    </row>
    <row r="47" spans="1:13">
      <c r="A47" s="2" t="s">
        <v>134</v>
      </c>
      <c r="B47" s="3">
        <v>45345</v>
      </c>
      <c r="C47" s="2" t="s">
        <v>65</v>
      </c>
      <c r="D47" s="2" t="s">
        <v>72</v>
      </c>
      <c r="E47" s="2" t="s">
        <v>112</v>
      </c>
      <c r="F47" s="7">
        <v>5</v>
      </c>
      <c r="G47" s="7">
        <v>500</v>
      </c>
      <c r="H47" s="7" t="s">
        <v>17</v>
      </c>
      <c r="I47" s="2" t="s">
        <v>18</v>
      </c>
      <c r="J47" s="2" t="s">
        <v>82</v>
      </c>
      <c r="K47" s="2" t="s">
        <v>48</v>
      </c>
      <c r="L47" s="2" t="s">
        <v>28</v>
      </c>
      <c r="M47" s="5" t="s">
        <v>17</v>
      </c>
    </row>
    <row r="48" spans="1:13">
      <c r="A48" s="2" t="s">
        <v>135</v>
      </c>
      <c r="B48" s="3">
        <v>45356</v>
      </c>
      <c r="C48" s="2" t="s">
        <v>81</v>
      </c>
      <c r="D48" s="2" t="s">
        <v>68</v>
      </c>
      <c r="E48" s="2" t="s">
        <v>69</v>
      </c>
      <c r="F48" s="7">
        <v>4</v>
      </c>
      <c r="G48" s="7">
        <v>1200</v>
      </c>
      <c r="H48" s="7">
        <v>15</v>
      </c>
      <c r="I48" s="2" t="s">
        <v>18</v>
      </c>
      <c r="J48" s="2" t="s">
        <v>47</v>
      </c>
      <c r="K48" s="2" t="s">
        <v>27</v>
      </c>
      <c r="L48" s="2" t="s">
        <v>21</v>
      </c>
      <c r="M48" s="5">
        <v>4080</v>
      </c>
    </row>
    <row r="49" spans="1:13">
      <c r="A49" s="2" t="s">
        <v>136</v>
      </c>
      <c r="B49" s="3">
        <v>45559</v>
      </c>
      <c r="C49" s="2" t="s">
        <v>90</v>
      </c>
      <c r="D49" s="2" t="s">
        <v>31</v>
      </c>
      <c r="E49" s="2" t="s">
        <v>69</v>
      </c>
      <c r="F49" s="7">
        <v>3</v>
      </c>
      <c r="G49" s="7">
        <v>800</v>
      </c>
      <c r="H49" s="7">
        <v>5</v>
      </c>
      <c r="I49" s="2" t="s">
        <v>26</v>
      </c>
      <c r="J49" s="2" t="s">
        <v>32</v>
      </c>
      <c r="K49" s="2" t="s">
        <v>20</v>
      </c>
      <c r="L49" s="2" t="s">
        <v>28</v>
      </c>
      <c r="M49" s="5">
        <v>2280</v>
      </c>
    </row>
    <row r="50" spans="1:13">
      <c r="A50" s="2" t="s">
        <v>137</v>
      </c>
      <c r="B50" s="3">
        <v>45098</v>
      </c>
      <c r="C50" s="2" t="s">
        <v>51</v>
      </c>
      <c r="D50" s="2" t="s">
        <v>41</v>
      </c>
      <c r="E50" s="2" t="s">
        <v>42</v>
      </c>
      <c r="F50" s="7">
        <v>3</v>
      </c>
      <c r="G50" s="7">
        <v>1500</v>
      </c>
      <c r="H50" s="7" t="s">
        <v>17</v>
      </c>
      <c r="I50" s="2" t="s">
        <v>60</v>
      </c>
      <c r="J50" s="2" t="s">
        <v>32</v>
      </c>
      <c r="K50" s="2" t="s">
        <v>48</v>
      </c>
      <c r="L50" s="2" t="s">
        <v>49</v>
      </c>
      <c r="M50" s="5" t="s">
        <v>17</v>
      </c>
    </row>
    <row r="51" spans="1:13">
      <c r="A51" s="2" t="s">
        <v>138</v>
      </c>
      <c r="B51" s="3">
        <v>45050</v>
      </c>
      <c r="C51" s="2" t="s">
        <v>94</v>
      </c>
      <c r="D51" s="2" t="s">
        <v>79</v>
      </c>
      <c r="E51" s="2" t="s">
        <v>16</v>
      </c>
      <c r="F51" s="7">
        <v>2</v>
      </c>
      <c r="G51" s="7">
        <v>950</v>
      </c>
      <c r="H51" s="7" t="s">
        <v>17</v>
      </c>
      <c r="I51" s="2" t="s">
        <v>60</v>
      </c>
      <c r="J51" s="2" t="s">
        <v>32</v>
      </c>
      <c r="K51" s="2" t="s">
        <v>27</v>
      </c>
      <c r="L51" s="2" t="s">
        <v>21</v>
      </c>
      <c r="M51" s="5" t="s">
        <v>17</v>
      </c>
    </row>
    <row r="52" spans="1:13">
      <c r="A52" s="2" t="s">
        <v>139</v>
      </c>
      <c r="B52" s="3">
        <v>45539</v>
      </c>
      <c r="C52" s="2" t="s">
        <v>140</v>
      </c>
      <c r="D52" s="2" t="s">
        <v>31</v>
      </c>
      <c r="E52" s="2" t="s">
        <v>85</v>
      </c>
      <c r="F52" s="7">
        <v>5</v>
      </c>
      <c r="G52" s="7">
        <v>800</v>
      </c>
      <c r="H52" s="7">
        <v>0</v>
      </c>
      <c r="I52" s="2" t="s">
        <v>60</v>
      </c>
      <c r="J52" s="2" t="s">
        <v>88</v>
      </c>
      <c r="K52" s="2" t="s">
        <v>75</v>
      </c>
      <c r="L52" s="2" t="s">
        <v>21</v>
      </c>
      <c r="M52" s="5">
        <v>4000</v>
      </c>
    </row>
    <row r="53" spans="1:13">
      <c r="A53" s="2" t="s">
        <v>141</v>
      </c>
      <c r="B53" s="3">
        <v>45095</v>
      </c>
      <c r="C53" s="2" t="s">
        <v>142</v>
      </c>
      <c r="D53" s="2" t="s">
        <v>41</v>
      </c>
      <c r="E53" s="2" t="s">
        <v>97</v>
      </c>
      <c r="F53" s="7">
        <v>4</v>
      </c>
      <c r="G53" s="7">
        <v>1500</v>
      </c>
      <c r="H53" s="7">
        <v>15</v>
      </c>
      <c r="I53" s="2" t="s">
        <v>60</v>
      </c>
      <c r="J53" s="2" t="s">
        <v>74</v>
      </c>
      <c r="K53" s="2" t="s">
        <v>27</v>
      </c>
      <c r="L53" s="2" t="s">
        <v>21</v>
      </c>
      <c r="M53" s="5">
        <v>5100</v>
      </c>
    </row>
    <row r="54" spans="1:13">
      <c r="A54" s="2" t="s">
        <v>143</v>
      </c>
      <c r="B54" s="3">
        <v>45227</v>
      </c>
      <c r="C54" s="2" t="s">
        <v>144</v>
      </c>
      <c r="D54" s="2" t="s">
        <v>63</v>
      </c>
      <c r="E54" s="2" t="s">
        <v>37</v>
      </c>
      <c r="F54" s="7">
        <v>1</v>
      </c>
      <c r="G54" s="7">
        <v>2200</v>
      </c>
      <c r="H54" s="7">
        <v>15</v>
      </c>
      <c r="I54" s="2" t="s">
        <v>26</v>
      </c>
      <c r="J54" s="2" t="s">
        <v>47</v>
      </c>
      <c r="K54" s="2" t="s">
        <v>27</v>
      </c>
      <c r="L54" s="2" t="s">
        <v>28</v>
      </c>
      <c r="M54" s="5">
        <v>1870</v>
      </c>
    </row>
    <row r="55" spans="1:13">
      <c r="A55" s="2" t="s">
        <v>145</v>
      </c>
      <c r="B55" s="3">
        <v>45490</v>
      </c>
      <c r="C55" s="2" t="s">
        <v>111</v>
      </c>
      <c r="D55" s="2" t="s">
        <v>24</v>
      </c>
      <c r="E55" s="2" t="s">
        <v>112</v>
      </c>
      <c r="F55" s="7">
        <v>3</v>
      </c>
      <c r="G55" s="7">
        <v>400</v>
      </c>
      <c r="H55" s="7" t="s">
        <v>17</v>
      </c>
      <c r="I55" s="2" t="s">
        <v>98</v>
      </c>
      <c r="J55" s="2" t="s">
        <v>32</v>
      </c>
      <c r="K55" s="2" t="s">
        <v>43</v>
      </c>
      <c r="L55" s="2" t="s">
        <v>21</v>
      </c>
      <c r="M55" s="5" t="s">
        <v>17</v>
      </c>
    </row>
    <row r="56" spans="1:13">
      <c r="A56" s="2" t="s">
        <v>146</v>
      </c>
      <c r="B56" s="3">
        <v>45181</v>
      </c>
      <c r="C56" s="2" t="s">
        <v>147</v>
      </c>
      <c r="D56" s="2" t="s">
        <v>68</v>
      </c>
      <c r="E56" s="2" t="s">
        <v>73</v>
      </c>
      <c r="F56" s="7">
        <v>4</v>
      </c>
      <c r="G56" s="7">
        <v>1200</v>
      </c>
      <c r="H56" s="7">
        <v>20</v>
      </c>
      <c r="I56" s="2" t="s">
        <v>17</v>
      </c>
      <c r="J56" s="2" t="s">
        <v>19</v>
      </c>
      <c r="K56" s="2" t="s">
        <v>75</v>
      </c>
      <c r="L56" s="2" t="s">
        <v>28</v>
      </c>
      <c r="M56" s="5">
        <v>3840</v>
      </c>
    </row>
    <row r="57" spans="1:13">
      <c r="A57" s="2" t="s">
        <v>148</v>
      </c>
      <c r="B57" s="3">
        <v>45324</v>
      </c>
      <c r="C57" s="2" t="s">
        <v>149</v>
      </c>
      <c r="D57" s="2" t="s">
        <v>31</v>
      </c>
      <c r="E57" s="2" t="s">
        <v>42</v>
      </c>
      <c r="F57" s="7">
        <v>-1</v>
      </c>
      <c r="G57" s="7">
        <v>800</v>
      </c>
      <c r="H57" s="7" t="s">
        <v>17</v>
      </c>
      <c r="I57" s="2" t="s">
        <v>60</v>
      </c>
      <c r="J57" s="2" t="s">
        <v>74</v>
      </c>
      <c r="K57" s="2" t="s">
        <v>43</v>
      </c>
      <c r="L57" s="2" t="s">
        <v>21</v>
      </c>
      <c r="M57" s="5" t="s">
        <v>17</v>
      </c>
    </row>
    <row r="58" spans="1:13">
      <c r="A58" s="2" t="s">
        <v>150</v>
      </c>
      <c r="B58" s="3">
        <v>44947</v>
      </c>
      <c r="C58" s="2" t="s">
        <v>151</v>
      </c>
      <c r="D58" s="2" t="s">
        <v>57</v>
      </c>
      <c r="E58" s="2" t="s">
        <v>87</v>
      </c>
      <c r="F58" s="7">
        <v>3</v>
      </c>
      <c r="G58" s="7">
        <v>2000</v>
      </c>
      <c r="H58" s="7">
        <v>20</v>
      </c>
      <c r="I58" s="2" t="s">
        <v>60</v>
      </c>
      <c r="J58" s="2" t="s">
        <v>32</v>
      </c>
      <c r="K58" s="2" t="s">
        <v>48</v>
      </c>
      <c r="L58" s="2" t="s">
        <v>21</v>
      </c>
      <c r="M58" s="5">
        <v>4800</v>
      </c>
    </row>
    <row r="59" spans="1:13">
      <c r="A59" s="2" t="s">
        <v>152</v>
      </c>
      <c r="B59" s="3">
        <v>45054</v>
      </c>
      <c r="C59" s="2" t="s">
        <v>153</v>
      </c>
      <c r="D59" s="2" t="s">
        <v>63</v>
      </c>
      <c r="E59" s="2" t="s">
        <v>37</v>
      </c>
      <c r="F59" s="7">
        <v>10</v>
      </c>
      <c r="G59" s="7">
        <v>2200</v>
      </c>
      <c r="H59" s="7" t="s">
        <v>17</v>
      </c>
      <c r="I59" s="2" t="s">
        <v>26</v>
      </c>
      <c r="J59" s="2" t="s">
        <v>88</v>
      </c>
      <c r="K59" s="2" t="s">
        <v>20</v>
      </c>
      <c r="L59" s="2" t="s">
        <v>28</v>
      </c>
      <c r="M59" s="5" t="s">
        <v>17</v>
      </c>
    </row>
    <row r="60" spans="1:13">
      <c r="A60" s="2" t="s">
        <v>154</v>
      </c>
      <c r="B60" s="3">
        <v>44981</v>
      </c>
      <c r="C60" s="2" t="s">
        <v>155</v>
      </c>
      <c r="D60" s="2" t="s">
        <v>63</v>
      </c>
      <c r="E60" s="2" t="s">
        <v>85</v>
      </c>
      <c r="F60" s="7">
        <v>1</v>
      </c>
      <c r="G60" s="7">
        <v>2200</v>
      </c>
      <c r="H60" s="7" t="s">
        <v>17</v>
      </c>
      <c r="I60" s="2" t="s">
        <v>17</v>
      </c>
      <c r="J60" s="2" t="s">
        <v>19</v>
      </c>
      <c r="K60" s="2" t="s">
        <v>75</v>
      </c>
      <c r="L60" s="2" t="s">
        <v>28</v>
      </c>
      <c r="M60" s="5" t="s">
        <v>17</v>
      </c>
    </row>
    <row r="61" spans="1:13">
      <c r="A61" s="2" t="s">
        <v>156</v>
      </c>
      <c r="B61" s="3">
        <v>45132</v>
      </c>
      <c r="C61" s="2" t="s">
        <v>155</v>
      </c>
      <c r="D61" s="2" t="s">
        <v>52</v>
      </c>
      <c r="E61" s="2" t="s">
        <v>46</v>
      </c>
      <c r="F61" s="7">
        <v>4</v>
      </c>
      <c r="G61" s="7">
        <v>1900</v>
      </c>
      <c r="H61" s="7">
        <v>10</v>
      </c>
      <c r="I61" s="2" t="s">
        <v>18</v>
      </c>
      <c r="J61" s="2" t="s">
        <v>47</v>
      </c>
      <c r="K61" s="2" t="s">
        <v>27</v>
      </c>
      <c r="L61" s="2" t="s">
        <v>28</v>
      </c>
      <c r="M61" s="5">
        <v>6840</v>
      </c>
    </row>
    <row r="62" spans="1:13">
      <c r="A62" s="2" t="s">
        <v>157</v>
      </c>
      <c r="B62" s="3">
        <v>44993</v>
      </c>
      <c r="C62" s="2" t="s">
        <v>158</v>
      </c>
      <c r="D62" s="2" t="s">
        <v>57</v>
      </c>
      <c r="E62" s="2" t="s">
        <v>53</v>
      </c>
      <c r="F62" s="7">
        <v>3</v>
      </c>
      <c r="G62" s="7">
        <v>2000</v>
      </c>
      <c r="H62" s="7">
        <v>20</v>
      </c>
      <c r="I62" s="2" t="s">
        <v>18</v>
      </c>
      <c r="J62" s="2" t="s">
        <v>74</v>
      </c>
      <c r="K62" s="2" t="s">
        <v>38</v>
      </c>
      <c r="L62" s="2" t="s">
        <v>49</v>
      </c>
      <c r="M62" s="5">
        <v>4800</v>
      </c>
    </row>
    <row r="63" spans="1:13">
      <c r="A63" s="2" t="s">
        <v>159</v>
      </c>
      <c r="B63" s="3">
        <v>45423</v>
      </c>
      <c r="C63" s="2" t="s">
        <v>106</v>
      </c>
      <c r="D63" s="2" t="s">
        <v>15</v>
      </c>
      <c r="E63" s="2" t="s">
        <v>46</v>
      </c>
      <c r="F63" s="7">
        <v>1</v>
      </c>
      <c r="G63" s="7">
        <v>1750</v>
      </c>
      <c r="H63" s="7">
        <v>10</v>
      </c>
      <c r="I63" s="2" t="s">
        <v>26</v>
      </c>
      <c r="J63" s="2" t="s">
        <v>47</v>
      </c>
      <c r="K63" s="2" t="s">
        <v>75</v>
      </c>
      <c r="L63" s="2" t="s">
        <v>21</v>
      </c>
      <c r="M63" s="5">
        <v>1575</v>
      </c>
    </row>
    <row r="64" spans="1:13">
      <c r="A64" s="2" t="s">
        <v>160</v>
      </c>
      <c r="B64" s="3">
        <v>44929</v>
      </c>
      <c r="C64" s="2" t="s">
        <v>161</v>
      </c>
      <c r="D64" s="2" t="s">
        <v>63</v>
      </c>
      <c r="E64" s="2" t="s">
        <v>85</v>
      </c>
      <c r="F64" s="7">
        <v>3</v>
      </c>
      <c r="G64" s="7">
        <v>2200</v>
      </c>
      <c r="H64" s="7">
        <v>0</v>
      </c>
      <c r="I64" s="2" t="s">
        <v>18</v>
      </c>
      <c r="J64" s="2" t="s">
        <v>47</v>
      </c>
      <c r="K64" s="2" t="s">
        <v>27</v>
      </c>
      <c r="L64" s="2" t="s">
        <v>28</v>
      </c>
      <c r="M64" s="5">
        <v>6600</v>
      </c>
    </row>
    <row r="65" spans="1:13">
      <c r="A65" s="2" t="s">
        <v>162</v>
      </c>
      <c r="B65" s="3">
        <v>45564</v>
      </c>
      <c r="C65" s="2" t="s">
        <v>111</v>
      </c>
      <c r="D65" s="2" t="s">
        <v>57</v>
      </c>
      <c r="E65" s="2" t="s">
        <v>46</v>
      </c>
      <c r="F65" s="7">
        <v>10</v>
      </c>
      <c r="G65" s="7">
        <v>2000</v>
      </c>
      <c r="H65" s="7" t="s">
        <v>17</v>
      </c>
      <c r="I65" s="2" t="s">
        <v>54</v>
      </c>
      <c r="J65" s="2" t="s">
        <v>32</v>
      </c>
      <c r="K65" s="2" t="s">
        <v>20</v>
      </c>
      <c r="L65" s="2" t="s">
        <v>28</v>
      </c>
      <c r="M65" s="5" t="s">
        <v>17</v>
      </c>
    </row>
    <row r="66" spans="1:13">
      <c r="A66" s="2" t="s">
        <v>163</v>
      </c>
      <c r="B66" s="3">
        <v>45561</v>
      </c>
      <c r="C66" s="2" t="s">
        <v>142</v>
      </c>
      <c r="D66" s="2" t="s">
        <v>72</v>
      </c>
      <c r="E66" s="2" t="s">
        <v>46</v>
      </c>
      <c r="F66" s="7">
        <v>2</v>
      </c>
      <c r="G66" s="7">
        <v>500</v>
      </c>
      <c r="H66" s="7">
        <v>15</v>
      </c>
      <c r="I66" s="2" t="s">
        <v>26</v>
      </c>
      <c r="J66" s="2" t="s">
        <v>32</v>
      </c>
      <c r="K66" s="2" t="s">
        <v>48</v>
      </c>
      <c r="L66" s="2" t="s">
        <v>21</v>
      </c>
      <c r="M66" s="5">
        <v>850</v>
      </c>
    </row>
    <row r="67" spans="1:13">
      <c r="A67" s="2" t="s">
        <v>164</v>
      </c>
      <c r="B67" s="3">
        <v>45067</v>
      </c>
      <c r="C67" s="2" t="s">
        <v>84</v>
      </c>
      <c r="D67" s="2" t="s">
        <v>68</v>
      </c>
      <c r="E67" s="2" t="s">
        <v>37</v>
      </c>
      <c r="F67" s="7">
        <v>10</v>
      </c>
      <c r="G67" s="7">
        <v>1200</v>
      </c>
      <c r="H67" s="7" t="s">
        <v>17</v>
      </c>
      <c r="I67" s="2" t="s">
        <v>17</v>
      </c>
      <c r="J67" s="2" t="s">
        <v>32</v>
      </c>
      <c r="K67" s="2" t="s">
        <v>33</v>
      </c>
      <c r="L67" s="2" t="s">
        <v>49</v>
      </c>
      <c r="M67" s="5" t="s">
        <v>17</v>
      </c>
    </row>
    <row r="68" spans="1:13">
      <c r="A68" s="2" t="s">
        <v>165</v>
      </c>
      <c r="B68" s="3">
        <v>45391</v>
      </c>
      <c r="C68" s="2" t="s">
        <v>71</v>
      </c>
      <c r="D68" s="2" t="s">
        <v>15</v>
      </c>
      <c r="E68" s="2" t="s">
        <v>42</v>
      </c>
      <c r="F68" s="7">
        <v>3</v>
      </c>
      <c r="G68" s="7">
        <v>1750</v>
      </c>
      <c r="H68" s="7">
        <v>10</v>
      </c>
      <c r="I68" s="2" t="s">
        <v>26</v>
      </c>
      <c r="J68" s="2" t="s">
        <v>19</v>
      </c>
      <c r="K68" s="2" t="s">
        <v>33</v>
      </c>
      <c r="L68" s="2" t="s">
        <v>28</v>
      </c>
      <c r="M68" s="5">
        <v>4725</v>
      </c>
    </row>
    <row r="69" spans="1:13">
      <c r="A69" s="2" t="s">
        <v>166</v>
      </c>
      <c r="B69" s="3">
        <v>45527</v>
      </c>
      <c r="C69" s="2" t="s">
        <v>109</v>
      </c>
      <c r="D69" s="2" t="s">
        <v>79</v>
      </c>
      <c r="E69" s="2" t="s">
        <v>16</v>
      </c>
      <c r="F69" s="7">
        <v>3</v>
      </c>
      <c r="G69" s="7">
        <v>950</v>
      </c>
      <c r="H69" s="7" t="s">
        <v>17</v>
      </c>
      <c r="I69" s="2" t="s">
        <v>98</v>
      </c>
      <c r="J69" s="2" t="s">
        <v>19</v>
      </c>
      <c r="K69" s="2" t="s">
        <v>27</v>
      </c>
      <c r="L69" s="2" t="s">
        <v>21</v>
      </c>
      <c r="M69" s="5" t="s">
        <v>17</v>
      </c>
    </row>
    <row r="70" spans="1:13">
      <c r="A70" s="2" t="s">
        <v>167</v>
      </c>
      <c r="B70" s="3">
        <v>45064</v>
      </c>
      <c r="C70" s="2" t="s">
        <v>109</v>
      </c>
      <c r="D70" s="2" t="s">
        <v>91</v>
      </c>
      <c r="E70" s="2" t="s">
        <v>112</v>
      </c>
      <c r="F70" s="7">
        <v>3</v>
      </c>
      <c r="G70" s="7">
        <v>700</v>
      </c>
      <c r="H70" s="7">
        <v>15</v>
      </c>
      <c r="I70" s="2" t="s">
        <v>26</v>
      </c>
      <c r="J70" s="2" t="s">
        <v>47</v>
      </c>
      <c r="K70" s="2" t="s">
        <v>33</v>
      </c>
      <c r="L70" s="2" t="s">
        <v>28</v>
      </c>
      <c r="M70" s="5">
        <v>1785</v>
      </c>
    </row>
    <row r="71" spans="1:13">
      <c r="A71" s="2" t="s">
        <v>168</v>
      </c>
      <c r="B71" s="3">
        <v>45062</v>
      </c>
      <c r="C71" s="2" t="s">
        <v>30</v>
      </c>
      <c r="D71" s="2" t="s">
        <v>72</v>
      </c>
      <c r="E71" s="2" t="s">
        <v>53</v>
      </c>
      <c r="F71" s="7">
        <v>2</v>
      </c>
      <c r="G71" s="7">
        <v>500</v>
      </c>
      <c r="H71" s="7" t="s">
        <v>17</v>
      </c>
      <c r="I71" s="2" t="s">
        <v>26</v>
      </c>
      <c r="J71" s="2" t="s">
        <v>88</v>
      </c>
      <c r="K71" s="2" t="s">
        <v>43</v>
      </c>
      <c r="L71" s="2" t="s">
        <v>21</v>
      </c>
      <c r="M71" s="5" t="s">
        <v>17</v>
      </c>
    </row>
    <row r="72" spans="1:13">
      <c r="A72" s="2" t="s">
        <v>169</v>
      </c>
      <c r="B72" s="3">
        <v>45019</v>
      </c>
      <c r="C72" s="2" t="s">
        <v>170</v>
      </c>
      <c r="D72" s="2" t="s">
        <v>57</v>
      </c>
      <c r="E72" s="2" t="s">
        <v>46</v>
      </c>
      <c r="F72" s="7">
        <v>1</v>
      </c>
      <c r="G72" s="7">
        <v>2000</v>
      </c>
      <c r="H72" s="7" t="s">
        <v>17</v>
      </c>
      <c r="I72" s="2" t="s">
        <v>26</v>
      </c>
      <c r="J72" s="2" t="s">
        <v>82</v>
      </c>
      <c r="K72" s="2" t="s">
        <v>20</v>
      </c>
      <c r="L72" s="2" t="s">
        <v>21</v>
      </c>
      <c r="M72" s="5" t="s">
        <v>17</v>
      </c>
    </row>
    <row r="73" spans="1:13">
      <c r="A73" s="2" t="s">
        <v>171</v>
      </c>
      <c r="B73" s="3">
        <v>45274</v>
      </c>
      <c r="C73" s="2" t="s">
        <v>67</v>
      </c>
      <c r="D73" s="2" t="s">
        <v>15</v>
      </c>
      <c r="E73" s="2" t="s">
        <v>87</v>
      </c>
      <c r="F73" s="7">
        <v>2</v>
      </c>
      <c r="G73" s="7">
        <v>1750</v>
      </c>
      <c r="H73" s="7">
        <v>15</v>
      </c>
      <c r="I73" s="2" t="s">
        <v>54</v>
      </c>
      <c r="J73" s="2" t="s">
        <v>74</v>
      </c>
      <c r="K73" s="2" t="s">
        <v>75</v>
      </c>
      <c r="L73" s="2" t="s">
        <v>28</v>
      </c>
      <c r="M73" s="5">
        <v>2975</v>
      </c>
    </row>
    <row r="74" spans="1:13">
      <c r="A74" s="2" t="s">
        <v>172</v>
      </c>
      <c r="B74" s="3">
        <v>45366</v>
      </c>
      <c r="C74" s="2" t="s">
        <v>173</v>
      </c>
      <c r="D74" s="2" t="s">
        <v>15</v>
      </c>
      <c r="E74" s="2" t="s">
        <v>87</v>
      </c>
      <c r="F74" s="7">
        <v>2</v>
      </c>
      <c r="G74" s="7">
        <v>1750</v>
      </c>
      <c r="H74" s="7">
        <v>15</v>
      </c>
      <c r="I74" s="2" t="s">
        <v>60</v>
      </c>
      <c r="J74" s="2" t="s">
        <v>19</v>
      </c>
      <c r="K74" s="2" t="s">
        <v>20</v>
      </c>
      <c r="L74" s="2" t="s">
        <v>28</v>
      </c>
      <c r="M74" s="5">
        <v>2975</v>
      </c>
    </row>
    <row r="75" spans="1:13">
      <c r="A75" s="2" t="s">
        <v>174</v>
      </c>
      <c r="B75" s="3">
        <v>45427</v>
      </c>
      <c r="C75" s="2" t="s">
        <v>122</v>
      </c>
      <c r="D75" s="2" t="s">
        <v>24</v>
      </c>
      <c r="E75" s="2" t="s">
        <v>87</v>
      </c>
      <c r="F75" s="7">
        <v>2</v>
      </c>
      <c r="G75" s="7">
        <v>400</v>
      </c>
      <c r="H75" s="7" t="s">
        <v>17</v>
      </c>
      <c r="I75" s="2" t="s">
        <v>54</v>
      </c>
      <c r="J75" s="2" t="s">
        <v>74</v>
      </c>
      <c r="K75" s="2" t="s">
        <v>38</v>
      </c>
      <c r="L75" s="2" t="s">
        <v>49</v>
      </c>
      <c r="M75" s="5" t="s">
        <v>17</v>
      </c>
    </row>
    <row r="76" spans="1:13">
      <c r="A76" s="2" t="s">
        <v>175</v>
      </c>
      <c r="B76" s="3">
        <v>45493</v>
      </c>
      <c r="C76" s="2" t="s">
        <v>51</v>
      </c>
      <c r="D76" s="2" t="s">
        <v>24</v>
      </c>
      <c r="E76" s="2" t="s">
        <v>87</v>
      </c>
      <c r="F76" s="7">
        <v>5</v>
      </c>
      <c r="G76" s="7">
        <v>400</v>
      </c>
      <c r="H76" s="7">
        <v>10</v>
      </c>
      <c r="I76" s="2" t="s">
        <v>98</v>
      </c>
      <c r="J76" s="2" t="s">
        <v>32</v>
      </c>
      <c r="K76" s="2" t="s">
        <v>75</v>
      </c>
      <c r="L76" s="2" t="s">
        <v>21</v>
      </c>
      <c r="M76" s="5">
        <v>1800</v>
      </c>
    </row>
    <row r="77" spans="1:13">
      <c r="A77" s="2" t="s">
        <v>176</v>
      </c>
      <c r="B77" s="3">
        <v>45480</v>
      </c>
      <c r="C77" s="2" t="s">
        <v>140</v>
      </c>
      <c r="D77" s="2" t="s">
        <v>36</v>
      </c>
      <c r="E77" s="2" t="s">
        <v>46</v>
      </c>
      <c r="F77" s="7">
        <v>3</v>
      </c>
      <c r="G77" s="7">
        <v>1100</v>
      </c>
      <c r="H77" s="7">
        <v>20</v>
      </c>
      <c r="I77" s="2" t="s">
        <v>26</v>
      </c>
      <c r="J77" s="2" t="s">
        <v>19</v>
      </c>
      <c r="K77" s="2" t="s">
        <v>27</v>
      </c>
      <c r="L77" s="2" t="s">
        <v>49</v>
      </c>
      <c r="M77" s="5">
        <v>2640</v>
      </c>
    </row>
    <row r="78" spans="1:13">
      <c r="A78" s="2" t="s">
        <v>177</v>
      </c>
      <c r="B78" s="3">
        <v>44974</v>
      </c>
      <c r="C78" s="2" t="s">
        <v>127</v>
      </c>
      <c r="D78" s="2" t="s">
        <v>15</v>
      </c>
      <c r="E78" s="2" t="s">
        <v>112</v>
      </c>
      <c r="F78" s="7">
        <v>3</v>
      </c>
      <c r="G78" s="7">
        <v>1750</v>
      </c>
      <c r="H78" s="7" t="s">
        <v>17</v>
      </c>
      <c r="I78" s="2" t="s">
        <v>26</v>
      </c>
      <c r="J78" s="2" t="s">
        <v>74</v>
      </c>
      <c r="K78" s="2" t="s">
        <v>20</v>
      </c>
      <c r="L78" s="2" t="s">
        <v>28</v>
      </c>
      <c r="M78" s="5" t="s">
        <v>17</v>
      </c>
    </row>
    <row r="79" spans="1:13">
      <c r="A79" s="2" t="s">
        <v>178</v>
      </c>
      <c r="B79" s="3">
        <v>44962</v>
      </c>
      <c r="C79" s="2" t="s">
        <v>71</v>
      </c>
      <c r="D79" s="2" t="s">
        <v>15</v>
      </c>
      <c r="E79" s="2" t="s">
        <v>46</v>
      </c>
      <c r="F79" s="7">
        <v>1</v>
      </c>
      <c r="G79" s="7">
        <v>1750</v>
      </c>
      <c r="H79" s="7" t="s">
        <v>17</v>
      </c>
      <c r="I79" s="2" t="s">
        <v>17</v>
      </c>
      <c r="J79" s="2" t="s">
        <v>82</v>
      </c>
      <c r="K79" s="2" t="s">
        <v>20</v>
      </c>
      <c r="L79" s="2" t="s">
        <v>21</v>
      </c>
      <c r="M79" s="5" t="s">
        <v>17</v>
      </c>
    </row>
    <row r="80" spans="1:13">
      <c r="A80" s="2" t="s">
        <v>179</v>
      </c>
      <c r="B80" s="3">
        <v>45512</v>
      </c>
      <c r="C80" s="2" t="s">
        <v>56</v>
      </c>
      <c r="D80" s="2" t="s">
        <v>68</v>
      </c>
      <c r="E80" s="2" t="s">
        <v>85</v>
      </c>
      <c r="F80" s="7">
        <v>4</v>
      </c>
      <c r="G80" s="7">
        <v>1200</v>
      </c>
      <c r="H80" s="7">
        <v>15</v>
      </c>
      <c r="I80" s="2" t="s">
        <v>98</v>
      </c>
      <c r="J80" s="2" t="s">
        <v>74</v>
      </c>
      <c r="K80" s="2" t="s">
        <v>43</v>
      </c>
      <c r="L80" s="2" t="s">
        <v>28</v>
      </c>
      <c r="M80" s="5">
        <v>4080</v>
      </c>
    </row>
    <row r="81" spans="1:13">
      <c r="A81" s="2" t="s">
        <v>180</v>
      </c>
      <c r="B81" s="3">
        <v>45031</v>
      </c>
      <c r="C81" s="2" t="s">
        <v>181</v>
      </c>
      <c r="D81" s="2" t="s">
        <v>15</v>
      </c>
      <c r="E81" s="2" t="s">
        <v>42</v>
      </c>
      <c r="F81" s="7">
        <v>4</v>
      </c>
      <c r="G81" s="7">
        <v>1750</v>
      </c>
      <c r="H81" s="7" t="s">
        <v>17</v>
      </c>
      <c r="I81" s="2" t="s">
        <v>60</v>
      </c>
      <c r="J81" s="2" t="s">
        <v>82</v>
      </c>
      <c r="K81" s="2" t="s">
        <v>75</v>
      </c>
      <c r="L81" s="2" t="s">
        <v>21</v>
      </c>
      <c r="M81" s="5" t="s">
        <v>17</v>
      </c>
    </row>
    <row r="82" spans="1:13">
      <c r="A82" s="2" t="s">
        <v>182</v>
      </c>
      <c r="B82" s="3">
        <v>45067</v>
      </c>
      <c r="C82" s="2" t="s">
        <v>114</v>
      </c>
      <c r="D82" s="2" t="s">
        <v>68</v>
      </c>
      <c r="E82" s="2" t="s">
        <v>16</v>
      </c>
      <c r="F82" s="7">
        <v>1</v>
      </c>
      <c r="G82" s="7">
        <v>1200</v>
      </c>
      <c r="H82" s="7">
        <v>10</v>
      </c>
      <c r="I82" s="2" t="s">
        <v>26</v>
      </c>
      <c r="J82" s="2" t="s">
        <v>19</v>
      </c>
      <c r="K82" s="2" t="s">
        <v>43</v>
      </c>
      <c r="L82" s="2" t="s">
        <v>49</v>
      </c>
      <c r="M82" s="5">
        <v>1080</v>
      </c>
    </row>
    <row r="83" spans="1:13">
      <c r="A83" s="2" t="s">
        <v>183</v>
      </c>
      <c r="B83" s="3">
        <v>45552</v>
      </c>
      <c r="C83" s="2" t="s">
        <v>147</v>
      </c>
      <c r="D83" s="2" t="s">
        <v>63</v>
      </c>
      <c r="E83" s="2" t="s">
        <v>53</v>
      </c>
      <c r="F83" s="7">
        <v>4</v>
      </c>
      <c r="G83" s="7">
        <v>2200</v>
      </c>
      <c r="H83" s="7">
        <v>0</v>
      </c>
      <c r="I83" s="2" t="s">
        <v>98</v>
      </c>
      <c r="J83" s="2" t="s">
        <v>82</v>
      </c>
      <c r="K83" s="2" t="s">
        <v>43</v>
      </c>
      <c r="L83" s="2" t="s">
        <v>49</v>
      </c>
      <c r="M83" s="5">
        <v>8800</v>
      </c>
    </row>
    <row r="84" spans="1:13">
      <c r="A84" s="2" t="s">
        <v>184</v>
      </c>
      <c r="B84" s="3">
        <v>45474</v>
      </c>
      <c r="C84" s="2" t="s">
        <v>40</v>
      </c>
      <c r="D84" s="2" t="s">
        <v>52</v>
      </c>
      <c r="E84" s="2" t="s">
        <v>25</v>
      </c>
      <c r="F84" s="7">
        <v>2</v>
      </c>
      <c r="G84" s="7">
        <v>1900</v>
      </c>
      <c r="H84" s="7" t="s">
        <v>17</v>
      </c>
      <c r="I84" s="2" t="s">
        <v>17</v>
      </c>
      <c r="J84" s="2" t="s">
        <v>19</v>
      </c>
      <c r="K84" s="2" t="s">
        <v>75</v>
      </c>
      <c r="L84" s="2" t="s">
        <v>49</v>
      </c>
      <c r="M84" s="5" t="s">
        <v>17</v>
      </c>
    </row>
    <row r="85" spans="1:13">
      <c r="A85" s="2" t="s">
        <v>185</v>
      </c>
      <c r="B85" s="3">
        <v>45054</v>
      </c>
      <c r="C85" s="2" t="s">
        <v>149</v>
      </c>
      <c r="D85" s="2" t="s">
        <v>68</v>
      </c>
      <c r="E85" s="2" t="s">
        <v>25</v>
      </c>
      <c r="F85" s="7">
        <v>3</v>
      </c>
      <c r="G85" s="7">
        <v>1200</v>
      </c>
      <c r="H85" s="7">
        <v>0</v>
      </c>
      <c r="I85" s="2" t="s">
        <v>26</v>
      </c>
      <c r="J85" s="2" t="s">
        <v>47</v>
      </c>
      <c r="K85" s="2" t="s">
        <v>27</v>
      </c>
      <c r="L85" s="2" t="s">
        <v>21</v>
      </c>
      <c r="M85" s="5">
        <v>3600</v>
      </c>
    </row>
    <row r="86" spans="1:13">
      <c r="A86" s="2" t="s">
        <v>186</v>
      </c>
      <c r="B86" s="3">
        <v>45379</v>
      </c>
      <c r="C86" s="2" t="s">
        <v>144</v>
      </c>
      <c r="D86" s="2" t="s">
        <v>31</v>
      </c>
      <c r="E86" s="2" t="s">
        <v>87</v>
      </c>
      <c r="F86" s="7">
        <v>10</v>
      </c>
      <c r="G86" s="7">
        <v>800</v>
      </c>
      <c r="H86" s="7">
        <v>15</v>
      </c>
      <c r="I86" s="2" t="s">
        <v>26</v>
      </c>
      <c r="J86" s="2" t="s">
        <v>74</v>
      </c>
      <c r="K86" s="2" t="s">
        <v>27</v>
      </c>
      <c r="L86" s="2" t="s">
        <v>28</v>
      </c>
      <c r="M86" s="5">
        <v>6800</v>
      </c>
    </row>
    <row r="87" spans="1:13">
      <c r="A87" s="2" t="s">
        <v>187</v>
      </c>
      <c r="B87" s="3">
        <v>45428</v>
      </c>
      <c r="C87" s="2" t="s">
        <v>127</v>
      </c>
      <c r="D87" s="2" t="s">
        <v>57</v>
      </c>
      <c r="E87" s="2" t="s">
        <v>73</v>
      </c>
      <c r="F87" s="7">
        <v>0</v>
      </c>
      <c r="G87" s="7">
        <v>2000</v>
      </c>
      <c r="H87" s="7" t="s">
        <v>17</v>
      </c>
      <c r="I87" s="2" t="s">
        <v>54</v>
      </c>
      <c r="J87" s="2" t="s">
        <v>88</v>
      </c>
      <c r="K87" s="2" t="s">
        <v>48</v>
      </c>
      <c r="L87" s="2" t="s">
        <v>49</v>
      </c>
      <c r="M87" s="5" t="s">
        <v>17</v>
      </c>
    </row>
    <row r="88" spans="1:13">
      <c r="A88" s="2" t="s">
        <v>188</v>
      </c>
      <c r="B88" s="3">
        <v>45293</v>
      </c>
      <c r="C88" s="2" t="s">
        <v>181</v>
      </c>
      <c r="D88" s="2" t="s">
        <v>91</v>
      </c>
      <c r="E88" s="2" t="s">
        <v>37</v>
      </c>
      <c r="F88" s="7">
        <v>-1</v>
      </c>
      <c r="G88" s="7">
        <v>700</v>
      </c>
      <c r="H88" s="7" t="s">
        <v>17</v>
      </c>
      <c r="I88" s="2" t="s">
        <v>54</v>
      </c>
      <c r="J88" s="2" t="s">
        <v>19</v>
      </c>
      <c r="K88" s="2" t="s">
        <v>43</v>
      </c>
      <c r="L88" s="2" t="s">
        <v>49</v>
      </c>
      <c r="M88" s="5" t="s">
        <v>17</v>
      </c>
    </row>
    <row r="89" spans="1:13">
      <c r="A89" s="2" t="s">
        <v>189</v>
      </c>
      <c r="B89" s="3">
        <v>45503</v>
      </c>
      <c r="C89" s="2" t="s">
        <v>40</v>
      </c>
      <c r="D89" s="2" t="s">
        <v>52</v>
      </c>
      <c r="E89" s="2" t="s">
        <v>37</v>
      </c>
      <c r="F89" s="7">
        <v>4</v>
      </c>
      <c r="G89" s="7">
        <v>1900</v>
      </c>
      <c r="H89" s="7" t="s">
        <v>17</v>
      </c>
      <c r="I89" s="2" t="s">
        <v>26</v>
      </c>
      <c r="J89" s="2" t="s">
        <v>19</v>
      </c>
      <c r="K89" s="2" t="s">
        <v>48</v>
      </c>
      <c r="L89" s="2" t="s">
        <v>49</v>
      </c>
      <c r="M89" s="5" t="s">
        <v>17</v>
      </c>
    </row>
    <row r="90" spans="1:13">
      <c r="A90" s="2" t="s">
        <v>190</v>
      </c>
      <c r="B90" s="3">
        <v>45463</v>
      </c>
      <c r="C90" s="2" t="s">
        <v>78</v>
      </c>
      <c r="D90" s="2" t="s">
        <v>15</v>
      </c>
      <c r="E90" s="2" t="s">
        <v>97</v>
      </c>
      <c r="F90" s="7">
        <v>3</v>
      </c>
      <c r="G90" s="7">
        <v>1750</v>
      </c>
      <c r="H90" s="7">
        <v>5</v>
      </c>
      <c r="I90" s="2" t="s">
        <v>18</v>
      </c>
      <c r="J90" s="2" t="s">
        <v>32</v>
      </c>
      <c r="K90" s="2" t="s">
        <v>38</v>
      </c>
      <c r="L90" s="2" t="s">
        <v>21</v>
      </c>
      <c r="M90" s="5">
        <v>4987.5</v>
      </c>
    </row>
    <row r="91" spans="1:13">
      <c r="A91" s="2" t="s">
        <v>191</v>
      </c>
      <c r="B91" s="3">
        <v>45206</v>
      </c>
      <c r="C91" s="2" t="s">
        <v>127</v>
      </c>
      <c r="D91" s="2" t="s">
        <v>68</v>
      </c>
      <c r="E91" s="2" t="s">
        <v>46</v>
      </c>
      <c r="F91" s="7">
        <v>-1</v>
      </c>
      <c r="G91" s="7">
        <v>1200</v>
      </c>
      <c r="H91" s="7" t="s">
        <v>17</v>
      </c>
      <c r="I91" s="2" t="s">
        <v>54</v>
      </c>
      <c r="J91" s="2" t="s">
        <v>19</v>
      </c>
      <c r="K91" s="2" t="s">
        <v>27</v>
      </c>
      <c r="L91" s="2" t="s">
        <v>49</v>
      </c>
      <c r="M91" s="5" t="s">
        <v>17</v>
      </c>
    </row>
    <row r="92" spans="1:13">
      <c r="A92" s="2" t="s">
        <v>192</v>
      </c>
      <c r="B92" s="3">
        <v>45441</v>
      </c>
      <c r="C92" s="2" t="s">
        <v>111</v>
      </c>
      <c r="D92" s="2" t="s">
        <v>79</v>
      </c>
      <c r="E92" s="2" t="s">
        <v>42</v>
      </c>
      <c r="F92" s="7">
        <v>2</v>
      </c>
      <c r="G92" s="7">
        <v>950</v>
      </c>
      <c r="H92" s="7">
        <v>15</v>
      </c>
      <c r="I92" s="2" t="s">
        <v>54</v>
      </c>
      <c r="J92" s="2" t="s">
        <v>19</v>
      </c>
      <c r="K92" s="2" t="s">
        <v>75</v>
      </c>
      <c r="L92" s="2" t="s">
        <v>21</v>
      </c>
      <c r="M92" s="5">
        <v>1615</v>
      </c>
    </row>
    <row r="93" spans="1:13">
      <c r="A93" s="2" t="s">
        <v>193</v>
      </c>
      <c r="B93" s="3">
        <v>45487</v>
      </c>
      <c r="C93" s="2" t="s">
        <v>170</v>
      </c>
      <c r="D93" s="2" t="s">
        <v>36</v>
      </c>
      <c r="E93" s="2" t="s">
        <v>42</v>
      </c>
      <c r="F93" s="7">
        <v>4</v>
      </c>
      <c r="G93" s="7">
        <v>1100</v>
      </c>
      <c r="H93" s="7" t="s">
        <v>17</v>
      </c>
      <c r="I93" s="2" t="s">
        <v>98</v>
      </c>
      <c r="J93" s="2" t="s">
        <v>19</v>
      </c>
      <c r="K93" s="2" t="s">
        <v>75</v>
      </c>
      <c r="L93" s="2" t="s">
        <v>28</v>
      </c>
      <c r="M93" s="5" t="s">
        <v>17</v>
      </c>
    </row>
    <row r="94" spans="1:13">
      <c r="A94" s="2" t="s">
        <v>194</v>
      </c>
      <c r="B94" s="3">
        <v>45173</v>
      </c>
      <c r="C94" s="2" t="s">
        <v>195</v>
      </c>
      <c r="D94" s="2" t="s">
        <v>91</v>
      </c>
      <c r="E94" s="2" t="s">
        <v>112</v>
      </c>
      <c r="F94" s="7">
        <v>3</v>
      </c>
      <c r="G94" s="7">
        <v>700</v>
      </c>
      <c r="H94" s="7">
        <v>10</v>
      </c>
      <c r="I94" s="2" t="s">
        <v>18</v>
      </c>
      <c r="J94" s="2" t="s">
        <v>19</v>
      </c>
      <c r="K94" s="2" t="s">
        <v>75</v>
      </c>
      <c r="L94" s="2" t="s">
        <v>49</v>
      </c>
      <c r="M94" s="5">
        <v>1890</v>
      </c>
    </row>
    <row r="95" spans="1:13">
      <c r="A95" s="2" t="s">
        <v>196</v>
      </c>
      <c r="B95" s="3">
        <v>45543</v>
      </c>
      <c r="C95" s="2" t="s">
        <v>71</v>
      </c>
      <c r="D95" s="2" t="s">
        <v>63</v>
      </c>
      <c r="E95" s="2" t="s">
        <v>112</v>
      </c>
      <c r="F95" s="7">
        <v>1</v>
      </c>
      <c r="G95" s="7">
        <v>2200</v>
      </c>
      <c r="H95" s="7" t="s">
        <v>17</v>
      </c>
      <c r="I95" s="2" t="s">
        <v>18</v>
      </c>
      <c r="J95" s="2" t="s">
        <v>47</v>
      </c>
      <c r="K95" s="2" t="s">
        <v>48</v>
      </c>
      <c r="L95" s="2" t="s">
        <v>49</v>
      </c>
      <c r="M95" s="5" t="s">
        <v>17</v>
      </c>
    </row>
    <row r="96" spans="1:13">
      <c r="A96" s="2" t="s">
        <v>197</v>
      </c>
      <c r="B96" s="3">
        <v>45521</v>
      </c>
      <c r="C96" s="2" t="s">
        <v>40</v>
      </c>
      <c r="D96" s="2" t="s">
        <v>41</v>
      </c>
      <c r="E96" s="2" t="s">
        <v>85</v>
      </c>
      <c r="F96" s="7">
        <v>2</v>
      </c>
      <c r="G96" s="7">
        <v>1500</v>
      </c>
      <c r="H96" s="7" t="s">
        <v>17</v>
      </c>
      <c r="I96" s="2" t="s">
        <v>54</v>
      </c>
      <c r="J96" s="2" t="s">
        <v>19</v>
      </c>
      <c r="K96" s="2" t="s">
        <v>27</v>
      </c>
      <c r="L96" s="2" t="s">
        <v>21</v>
      </c>
      <c r="M96" s="5" t="s">
        <v>17</v>
      </c>
    </row>
    <row r="97" spans="1:13">
      <c r="A97" s="2" t="s">
        <v>198</v>
      </c>
      <c r="B97" s="3">
        <v>45245</v>
      </c>
      <c r="C97" s="2" t="s">
        <v>96</v>
      </c>
      <c r="D97" s="2" t="s">
        <v>63</v>
      </c>
      <c r="E97" s="2" t="s">
        <v>97</v>
      </c>
      <c r="F97" s="7">
        <v>1</v>
      </c>
      <c r="G97" s="7">
        <v>2200</v>
      </c>
      <c r="H97" s="7" t="s">
        <v>17</v>
      </c>
      <c r="I97" s="2" t="s">
        <v>26</v>
      </c>
      <c r="J97" s="2" t="s">
        <v>47</v>
      </c>
      <c r="K97" s="2" t="s">
        <v>20</v>
      </c>
      <c r="L97" s="2" t="s">
        <v>49</v>
      </c>
      <c r="M97" s="5" t="s">
        <v>17</v>
      </c>
    </row>
    <row r="98" spans="1:13">
      <c r="A98" s="2" t="s">
        <v>199</v>
      </c>
      <c r="B98" s="3">
        <v>45243</v>
      </c>
      <c r="C98" s="2" t="s">
        <v>59</v>
      </c>
      <c r="D98" s="2" t="s">
        <v>63</v>
      </c>
      <c r="E98" s="2" t="s">
        <v>69</v>
      </c>
      <c r="F98" s="7">
        <v>10</v>
      </c>
      <c r="G98" s="7">
        <v>2200</v>
      </c>
      <c r="H98" s="7">
        <v>0</v>
      </c>
      <c r="I98" s="2" t="s">
        <v>26</v>
      </c>
      <c r="J98" s="2" t="s">
        <v>19</v>
      </c>
      <c r="K98" s="2" t="s">
        <v>20</v>
      </c>
      <c r="L98" s="2" t="s">
        <v>28</v>
      </c>
      <c r="M98" s="5">
        <v>22000</v>
      </c>
    </row>
    <row r="99" spans="1:13">
      <c r="A99" s="2" t="s">
        <v>200</v>
      </c>
      <c r="B99" s="3">
        <v>45166</v>
      </c>
      <c r="C99" s="2" t="s">
        <v>62</v>
      </c>
      <c r="D99" s="2" t="s">
        <v>91</v>
      </c>
      <c r="E99" s="2" t="s">
        <v>97</v>
      </c>
      <c r="F99" s="7">
        <v>0</v>
      </c>
      <c r="G99" s="7">
        <v>700</v>
      </c>
      <c r="H99" s="7" t="s">
        <v>17</v>
      </c>
      <c r="I99" s="2" t="s">
        <v>26</v>
      </c>
      <c r="J99" s="2" t="s">
        <v>47</v>
      </c>
      <c r="K99" s="2" t="s">
        <v>33</v>
      </c>
      <c r="L99" s="2" t="s">
        <v>28</v>
      </c>
      <c r="M99" s="5" t="s">
        <v>17</v>
      </c>
    </row>
    <row r="100" spans="1:13">
      <c r="A100" s="2" t="s">
        <v>201</v>
      </c>
      <c r="B100" s="3">
        <v>45294</v>
      </c>
      <c r="C100" s="2" t="s">
        <v>114</v>
      </c>
      <c r="D100" s="2" t="s">
        <v>41</v>
      </c>
      <c r="E100" s="2" t="s">
        <v>112</v>
      </c>
      <c r="F100" s="7">
        <v>10</v>
      </c>
      <c r="G100" s="7">
        <v>1500</v>
      </c>
      <c r="H100" s="7">
        <v>15</v>
      </c>
      <c r="I100" s="2" t="s">
        <v>60</v>
      </c>
      <c r="J100" s="2" t="s">
        <v>32</v>
      </c>
      <c r="K100" s="2" t="s">
        <v>33</v>
      </c>
      <c r="L100" s="2" t="s">
        <v>49</v>
      </c>
      <c r="M100" s="5">
        <v>12750</v>
      </c>
    </row>
    <row r="101" spans="1:13">
      <c r="A101" s="2" t="s">
        <v>202</v>
      </c>
      <c r="B101" s="3">
        <v>44978</v>
      </c>
      <c r="C101" s="2" t="s">
        <v>158</v>
      </c>
      <c r="D101" s="2" t="s">
        <v>79</v>
      </c>
      <c r="E101" s="2" t="s">
        <v>37</v>
      </c>
      <c r="F101" s="7">
        <v>10</v>
      </c>
      <c r="G101" s="7">
        <v>950</v>
      </c>
      <c r="H101" s="7" t="s">
        <v>17</v>
      </c>
      <c r="I101" s="2" t="s">
        <v>60</v>
      </c>
      <c r="J101" s="2" t="s">
        <v>74</v>
      </c>
      <c r="K101" s="2" t="s">
        <v>27</v>
      </c>
      <c r="L101" s="2" t="s">
        <v>21</v>
      </c>
      <c r="M101" s="5" t="s">
        <v>17</v>
      </c>
    </row>
    <row r="102" spans="1:13">
      <c r="A102" s="2" t="s">
        <v>203</v>
      </c>
      <c r="B102" s="3">
        <v>44928</v>
      </c>
      <c r="C102" s="2" t="s">
        <v>71</v>
      </c>
      <c r="D102" s="2" t="s">
        <v>36</v>
      </c>
      <c r="E102" s="2" t="s">
        <v>42</v>
      </c>
      <c r="F102" s="7">
        <v>10</v>
      </c>
      <c r="G102" s="7">
        <v>1100</v>
      </c>
      <c r="H102" s="7">
        <v>5</v>
      </c>
      <c r="I102" s="2" t="s">
        <v>17</v>
      </c>
      <c r="J102" s="2" t="s">
        <v>32</v>
      </c>
      <c r="K102" s="2" t="s">
        <v>20</v>
      </c>
      <c r="L102" s="2" t="s">
        <v>28</v>
      </c>
      <c r="M102" s="5">
        <v>10450</v>
      </c>
    </row>
    <row r="103" spans="1:13">
      <c r="A103" s="2" t="s">
        <v>204</v>
      </c>
      <c r="B103" s="3">
        <v>45222</v>
      </c>
      <c r="C103" s="2" t="s">
        <v>205</v>
      </c>
      <c r="D103" s="2" t="s">
        <v>24</v>
      </c>
      <c r="E103" s="2" t="s">
        <v>97</v>
      </c>
      <c r="F103" s="7">
        <v>10</v>
      </c>
      <c r="G103" s="7">
        <v>400</v>
      </c>
      <c r="H103" s="7" t="s">
        <v>17</v>
      </c>
      <c r="I103" s="2" t="s">
        <v>18</v>
      </c>
      <c r="J103" s="2" t="s">
        <v>47</v>
      </c>
      <c r="K103" s="2" t="s">
        <v>27</v>
      </c>
      <c r="L103" s="2" t="s">
        <v>49</v>
      </c>
      <c r="M103" s="5" t="s">
        <v>17</v>
      </c>
    </row>
    <row r="104" spans="1:13">
      <c r="A104" s="2" t="s">
        <v>206</v>
      </c>
      <c r="B104" s="3">
        <v>45351</v>
      </c>
      <c r="C104" s="2" t="s">
        <v>111</v>
      </c>
      <c r="D104" s="2" t="s">
        <v>72</v>
      </c>
      <c r="E104" s="2" t="s">
        <v>97</v>
      </c>
      <c r="F104" s="7">
        <v>10</v>
      </c>
      <c r="G104" s="7">
        <v>500</v>
      </c>
      <c r="H104" s="7">
        <v>5</v>
      </c>
      <c r="I104" s="2" t="s">
        <v>98</v>
      </c>
      <c r="J104" s="2" t="s">
        <v>19</v>
      </c>
      <c r="K104" s="2" t="s">
        <v>75</v>
      </c>
      <c r="L104" s="2" t="s">
        <v>28</v>
      </c>
      <c r="M104" s="5">
        <v>4750</v>
      </c>
    </row>
    <row r="105" spans="1:13">
      <c r="A105" s="2" t="s">
        <v>207</v>
      </c>
      <c r="B105" s="3">
        <v>45533</v>
      </c>
      <c r="C105" s="2" t="s">
        <v>81</v>
      </c>
      <c r="D105" s="2" t="s">
        <v>52</v>
      </c>
      <c r="E105" s="2" t="s">
        <v>25</v>
      </c>
      <c r="F105" s="7">
        <v>-1</v>
      </c>
      <c r="G105" s="7">
        <v>1900</v>
      </c>
      <c r="H105" s="7">
        <v>0</v>
      </c>
      <c r="I105" s="2" t="s">
        <v>98</v>
      </c>
      <c r="J105" s="2" t="s">
        <v>32</v>
      </c>
      <c r="K105" s="2" t="s">
        <v>20</v>
      </c>
      <c r="L105" s="2" t="s">
        <v>49</v>
      </c>
      <c r="M105" s="5">
        <v>-1900</v>
      </c>
    </row>
    <row r="106" spans="1:13">
      <c r="A106" s="2" t="s">
        <v>208</v>
      </c>
      <c r="B106" s="3">
        <v>45444</v>
      </c>
      <c r="C106" s="2" t="s">
        <v>101</v>
      </c>
      <c r="D106" s="2" t="s">
        <v>72</v>
      </c>
      <c r="E106" s="2" t="s">
        <v>87</v>
      </c>
      <c r="F106" s="7">
        <v>0</v>
      </c>
      <c r="G106" s="7">
        <v>500</v>
      </c>
      <c r="H106" s="7">
        <v>0</v>
      </c>
      <c r="I106" s="2" t="s">
        <v>54</v>
      </c>
      <c r="J106" s="2" t="s">
        <v>82</v>
      </c>
      <c r="K106" s="2" t="s">
        <v>43</v>
      </c>
      <c r="L106" s="2" t="s">
        <v>49</v>
      </c>
      <c r="M106" s="5">
        <v>0</v>
      </c>
    </row>
    <row r="107" spans="1:13">
      <c r="A107" s="2" t="s">
        <v>209</v>
      </c>
      <c r="B107" s="3">
        <v>45445</v>
      </c>
      <c r="C107" s="2" t="s">
        <v>81</v>
      </c>
      <c r="D107" s="2" t="s">
        <v>68</v>
      </c>
      <c r="E107" s="2" t="s">
        <v>16</v>
      </c>
      <c r="F107" s="7">
        <v>-1</v>
      </c>
      <c r="G107" s="7">
        <v>1200</v>
      </c>
      <c r="H107" s="7" t="s">
        <v>17</v>
      </c>
      <c r="I107" s="2" t="s">
        <v>18</v>
      </c>
      <c r="J107" s="2" t="s">
        <v>88</v>
      </c>
      <c r="K107" s="2" t="s">
        <v>48</v>
      </c>
      <c r="L107" s="2" t="s">
        <v>28</v>
      </c>
      <c r="M107" s="5" t="s">
        <v>17</v>
      </c>
    </row>
    <row r="108" spans="1:13">
      <c r="A108" s="2" t="s">
        <v>210</v>
      </c>
      <c r="B108" s="3">
        <v>45043</v>
      </c>
      <c r="C108" s="2" t="s">
        <v>211</v>
      </c>
      <c r="D108" s="2" t="s">
        <v>79</v>
      </c>
      <c r="E108" s="2" t="s">
        <v>53</v>
      </c>
      <c r="F108" s="7">
        <v>5</v>
      </c>
      <c r="G108" s="7">
        <v>950</v>
      </c>
      <c r="H108" s="7" t="s">
        <v>17</v>
      </c>
      <c r="I108" s="2" t="s">
        <v>60</v>
      </c>
      <c r="J108" s="2" t="s">
        <v>88</v>
      </c>
      <c r="K108" s="2" t="s">
        <v>43</v>
      </c>
      <c r="L108" s="2" t="s">
        <v>49</v>
      </c>
      <c r="M108" s="5" t="s">
        <v>17</v>
      </c>
    </row>
    <row r="109" spans="1:13">
      <c r="A109" s="2" t="s">
        <v>212</v>
      </c>
      <c r="B109" s="3">
        <v>45133</v>
      </c>
      <c r="C109" s="2" t="s">
        <v>59</v>
      </c>
      <c r="D109" s="2" t="s">
        <v>57</v>
      </c>
      <c r="E109" s="2" t="s">
        <v>69</v>
      </c>
      <c r="F109" s="7">
        <v>5</v>
      </c>
      <c r="G109" s="7">
        <v>2000</v>
      </c>
      <c r="H109" s="7">
        <v>20</v>
      </c>
      <c r="I109" s="2" t="s">
        <v>17</v>
      </c>
      <c r="J109" s="2" t="s">
        <v>19</v>
      </c>
      <c r="K109" s="2" t="s">
        <v>43</v>
      </c>
      <c r="L109" s="2" t="s">
        <v>21</v>
      </c>
      <c r="M109" s="5">
        <v>8000</v>
      </c>
    </row>
    <row r="110" spans="1:13">
      <c r="A110" s="2" t="s">
        <v>213</v>
      </c>
      <c r="B110" s="3">
        <v>45270</v>
      </c>
      <c r="C110" s="2" t="s">
        <v>90</v>
      </c>
      <c r="D110" s="2" t="s">
        <v>36</v>
      </c>
      <c r="E110" s="2" t="s">
        <v>37</v>
      </c>
      <c r="F110" s="7">
        <v>5</v>
      </c>
      <c r="G110" s="7">
        <v>1100</v>
      </c>
      <c r="H110" s="7">
        <v>20</v>
      </c>
      <c r="I110" s="2" t="s">
        <v>26</v>
      </c>
      <c r="J110" s="2" t="s">
        <v>19</v>
      </c>
      <c r="K110" s="2" t="s">
        <v>20</v>
      </c>
      <c r="L110" s="2" t="s">
        <v>49</v>
      </c>
      <c r="M110" s="5">
        <v>4400</v>
      </c>
    </row>
    <row r="111" spans="1:13">
      <c r="A111" s="2" t="s">
        <v>214</v>
      </c>
      <c r="B111" s="3">
        <v>44930</v>
      </c>
      <c r="C111" s="2" t="s">
        <v>62</v>
      </c>
      <c r="D111" s="2" t="s">
        <v>36</v>
      </c>
      <c r="E111" s="2" t="s">
        <v>25</v>
      </c>
      <c r="F111" s="7">
        <v>3</v>
      </c>
      <c r="G111" s="7">
        <v>1100</v>
      </c>
      <c r="H111" s="7" t="s">
        <v>17</v>
      </c>
      <c r="I111" s="2" t="s">
        <v>98</v>
      </c>
      <c r="J111" s="2" t="s">
        <v>74</v>
      </c>
      <c r="K111" s="2" t="s">
        <v>75</v>
      </c>
      <c r="L111" s="2" t="s">
        <v>28</v>
      </c>
      <c r="M111" s="5" t="s">
        <v>17</v>
      </c>
    </row>
    <row r="112" spans="1:13">
      <c r="A112" s="2" t="s">
        <v>215</v>
      </c>
      <c r="B112" s="3">
        <v>45068</v>
      </c>
      <c r="C112" s="2" t="s">
        <v>173</v>
      </c>
      <c r="D112" s="2" t="s">
        <v>68</v>
      </c>
      <c r="E112" s="2" t="s">
        <v>46</v>
      </c>
      <c r="F112" s="7">
        <v>-1</v>
      </c>
      <c r="G112" s="7">
        <v>1200</v>
      </c>
      <c r="H112" s="7" t="s">
        <v>17</v>
      </c>
      <c r="I112" s="2" t="s">
        <v>98</v>
      </c>
      <c r="J112" s="2" t="s">
        <v>32</v>
      </c>
      <c r="K112" s="2" t="s">
        <v>75</v>
      </c>
      <c r="L112" s="2" t="s">
        <v>49</v>
      </c>
      <c r="M112" s="5" t="s">
        <v>17</v>
      </c>
    </row>
    <row r="113" spans="1:13">
      <c r="A113" s="2" t="s">
        <v>216</v>
      </c>
      <c r="B113" s="3">
        <v>45555</v>
      </c>
      <c r="C113" s="2" t="s">
        <v>144</v>
      </c>
      <c r="D113" s="2" t="s">
        <v>91</v>
      </c>
      <c r="E113" s="2" t="s">
        <v>46</v>
      </c>
      <c r="F113" s="7">
        <v>2</v>
      </c>
      <c r="G113" s="7">
        <v>700</v>
      </c>
      <c r="H113" s="7">
        <v>10</v>
      </c>
      <c r="I113" s="2" t="s">
        <v>18</v>
      </c>
      <c r="J113" s="2" t="s">
        <v>47</v>
      </c>
      <c r="K113" s="2" t="s">
        <v>27</v>
      </c>
      <c r="L113" s="2" t="s">
        <v>21</v>
      </c>
      <c r="M113" s="5">
        <v>1260</v>
      </c>
    </row>
    <row r="114" spans="1:13">
      <c r="A114" s="2" t="s">
        <v>217</v>
      </c>
      <c r="B114" s="3">
        <v>45070</v>
      </c>
      <c r="C114" s="2" t="s">
        <v>173</v>
      </c>
      <c r="D114" s="2" t="s">
        <v>79</v>
      </c>
      <c r="E114" s="2" t="s">
        <v>53</v>
      </c>
      <c r="F114" s="7">
        <v>2</v>
      </c>
      <c r="G114" s="7">
        <v>950</v>
      </c>
      <c r="H114" s="7">
        <v>0</v>
      </c>
      <c r="I114" s="2" t="s">
        <v>54</v>
      </c>
      <c r="J114" s="2" t="s">
        <v>19</v>
      </c>
      <c r="K114" s="2" t="s">
        <v>48</v>
      </c>
      <c r="L114" s="2" t="s">
        <v>28</v>
      </c>
      <c r="M114" s="5">
        <v>1900</v>
      </c>
    </row>
    <row r="115" spans="1:13">
      <c r="A115" s="2" t="s">
        <v>218</v>
      </c>
      <c r="B115" s="3">
        <v>45213</v>
      </c>
      <c r="C115" s="2" t="s">
        <v>51</v>
      </c>
      <c r="D115" s="2" t="s">
        <v>68</v>
      </c>
      <c r="E115" s="2" t="s">
        <v>53</v>
      </c>
      <c r="F115" s="7">
        <v>1</v>
      </c>
      <c r="G115" s="7">
        <v>1200</v>
      </c>
      <c r="H115" s="7">
        <v>15</v>
      </c>
      <c r="I115" s="2" t="s">
        <v>54</v>
      </c>
      <c r="J115" s="2" t="s">
        <v>88</v>
      </c>
      <c r="K115" s="2" t="s">
        <v>38</v>
      </c>
      <c r="L115" s="2" t="s">
        <v>49</v>
      </c>
      <c r="M115" s="5">
        <v>1020</v>
      </c>
    </row>
    <row r="116" spans="1:13">
      <c r="A116" s="2" t="s">
        <v>219</v>
      </c>
      <c r="B116" s="3">
        <v>45225</v>
      </c>
      <c r="C116" s="2" t="s">
        <v>14</v>
      </c>
      <c r="D116" s="2" t="s">
        <v>41</v>
      </c>
      <c r="E116" s="2" t="s">
        <v>25</v>
      </c>
      <c r="F116" s="7">
        <v>4</v>
      </c>
      <c r="G116" s="7">
        <v>1500</v>
      </c>
      <c r="H116" s="7" t="s">
        <v>17</v>
      </c>
      <c r="I116" s="2" t="s">
        <v>98</v>
      </c>
      <c r="J116" s="2" t="s">
        <v>47</v>
      </c>
      <c r="K116" s="2" t="s">
        <v>38</v>
      </c>
      <c r="L116" s="2" t="s">
        <v>49</v>
      </c>
      <c r="M116" s="5" t="s">
        <v>17</v>
      </c>
    </row>
    <row r="117" spans="1:13">
      <c r="A117" s="2" t="s">
        <v>220</v>
      </c>
      <c r="B117" s="3">
        <v>45074</v>
      </c>
      <c r="C117" s="2" t="s">
        <v>35</v>
      </c>
      <c r="D117" s="2" t="s">
        <v>57</v>
      </c>
      <c r="E117" s="2" t="s">
        <v>16</v>
      </c>
      <c r="F117" s="7">
        <v>1</v>
      </c>
      <c r="G117" s="7">
        <v>2000</v>
      </c>
      <c r="H117" s="7" t="s">
        <v>17</v>
      </c>
      <c r="I117" s="2" t="s">
        <v>60</v>
      </c>
      <c r="J117" s="2" t="s">
        <v>19</v>
      </c>
      <c r="K117" s="2" t="s">
        <v>27</v>
      </c>
      <c r="L117" s="2" t="s">
        <v>28</v>
      </c>
      <c r="M117" s="5" t="s">
        <v>17</v>
      </c>
    </row>
    <row r="118" spans="1:13">
      <c r="A118" s="2" t="s">
        <v>221</v>
      </c>
      <c r="B118" s="3">
        <v>45462</v>
      </c>
      <c r="C118" s="2" t="s">
        <v>30</v>
      </c>
      <c r="D118" s="2" t="s">
        <v>79</v>
      </c>
      <c r="E118" s="2" t="s">
        <v>69</v>
      </c>
      <c r="F118" s="7">
        <v>5</v>
      </c>
      <c r="G118" s="7">
        <v>950</v>
      </c>
      <c r="H118" s="7">
        <v>15</v>
      </c>
      <c r="I118" s="2" t="s">
        <v>18</v>
      </c>
      <c r="J118" s="2" t="s">
        <v>47</v>
      </c>
      <c r="K118" s="2" t="s">
        <v>75</v>
      </c>
      <c r="L118" s="2" t="s">
        <v>21</v>
      </c>
      <c r="M118" s="5">
        <v>4037.5</v>
      </c>
    </row>
    <row r="119" spans="1:13">
      <c r="A119" s="2" t="s">
        <v>222</v>
      </c>
      <c r="B119" s="3">
        <v>45233</v>
      </c>
      <c r="C119" s="2" t="s">
        <v>45</v>
      </c>
      <c r="D119" s="2" t="s">
        <v>91</v>
      </c>
      <c r="E119" s="2" t="s">
        <v>37</v>
      </c>
      <c r="F119" s="7">
        <v>2</v>
      </c>
      <c r="G119" s="7">
        <v>700</v>
      </c>
      <c r="H119" s="7">
        <v>0</v>
      </c>
      <c r="I119" s="2" t="s">
        <v>18</v>
      </c>
      <c r="J119" s="2" t="s">
        <v>32</v>
      </c>
      <c r="K119" s="2" t="s">
        <v>20</v>
      </c>
      <c r="L119" s="2" t="s">
        <v>21</v>
      </c>
      <c r="M119" s="5">
        <v>1400</v>
      </c>
    </row>
    <row r="120" spans="1:13">
      <c r="A120" s="2" t="s">
        <v>223</v>
      </c>
      <c r="B120" s="3">
        <v>44960</v>
      </c>
      <c r="C120" s="2" t="s">
        <v>122</v>
      </c>
      <c r="D120" s="2" t="s">
        <v>24</v>
      </c>
      <c r="E120" s="2" t="s">
        <v>97</v>
      </c>
      <c r="F120" s="7">
        <v>2</v>
      </c>
      <c r="G120" s="7">
        <v>400</v>
      </c>
      <c r="H120" s="7">
        <v>20</v>
      </c>
      <c r="I120" s="2" t="s">
        <v>17</v>
      </c>
      <c r="J120" s="2" t="s">
        <v>32</v>
      </c>
      <c r="K120" s="2" t="s">
        <v>43</v>
      </c>
      <c r="L120" s="2" t="s">
        <v>28</v>
      </c>
      <c r="M120" s="5">
        <v>640</v>
      </c>
    </row>
    <row r="121" spans="1:13">
      <c r="A121" s="2" t="s">
        <v>224</v>
      </c>
      <c r="B121" s="3">
        <v>45513</v>
      </c>
      <c r="C121" s="2" t="s">
        <v>144</v>
      </c>
      <c r="D121" s="2" t="s">
        <v>57</v>
      </c>
      <c r="E121" s="2" t="s">
        <v>97</v>
      </c>
      <c r="F121" s="7">
        <v>-1</v>
      </c>
      <c r="G121" s="7">
        <v>2000</v>
      </c>
      <c r="H121" s="7">
        <v>5</v>
      </c>
      <c r="I121" s="2" t="s">
        <v>17</v>
      </c>
      <c r="J121" s="2" t="s">
        <v>88</v>
      </c>
      <c r="K121" s="2" t="s">
        <v>27</v>
      </c>
      <c r="L121" s="2" t="s">
        <v>49</v>
      </c>
      <c r="M121" s="5">
        <v>-1900</v>
      </c>
    </row>
    <row r="122" spans="1:13">
      <c r="A122" s="2" t="s">
        <v>225</v>
      </c>
      <c r="B122" s="3">
        <v>45011</v>
      </c>
      <c r="C122" s="2" t="s">
        <v>81</v>
      </c>
      <c r="D122" s="2" t="s">
        <v>91</v>
      </c>
      <c r="E122" s="2" t="s">
        <v>97</v>
      </c>
      <c r="F122" s="7">
        <v>1</v>
      </c>
      <c r="G122" s="7">
        <v>700</v>
      </c>
      <c r="H122" s="7" t="s">
        <v>17</v>
      </c>
      <c r="I122" s="2" t="s">
        <v>54</v>
      </c>
      <c r="J122" s="2" t="s">
        <v>82</v>
      </c>
      <c r="K122" s="2" t="s">
        <v>27</v>
      </c>
      <c r="L122" s="2" t="s">
        <v>49</v>
      </c>
      <c r="M122" s="5" t="s">
        <v>17</v>
      </c>
    </row>
    <row r="123" spans="1:13">
      <c r="A123" s="2" t="s">
        <v>226</v>
      </c>
      <c r="B123" s="3">
        <v>45043</v>
      </c>
      <c r="C123" s="2" t="s">
        <v>65</v>
      </c>
      <c r="D123" s="2" t="s">
        <v>31</v>
      </c>
      <c r="E123" s="2" t="s">
        <v>85</v>
      </c>
      <c r="F123" s="7">
        <v>-1</v>
      </c>
      <c r="G123" s="7">
        <v>800</v>
      </c>
      <c r="H123" s="7" t="s">
        <v>17</v>
      </c>
      <c r="I123" s="2" t="s">
        <v>54</v>
      </c>
      <c r="J123" s="2" t="s">
        <v>19</v>
      </c>
      <c r="K123" s="2" t="s">
        <v>43</v>
      </c>
      <c r="L123" s="2" t="s">
        <v>28</v>
      </c>
      <c r="M123" s="5" t="s">
        <v>17</v>
      </c>
    </row>
    <row r="124" spans="1:13">
      <c r="A124" s="2" t="s">
        <v>227</v>
      </c>
      <c r="B124" s="3">
        <v>44935</v>
      </c>
      <c r="C124" s="2" t="s">
        <v>40</v>
      </c>
      <c r="D124" s="2" t="s">
        <v>41</v>
      </c>
      <c r="E124" s="2" t="s">
        <v>85</v>
      </c>
      <c r="F124" s="7">
        <v>3</v>
      </c>
      <c r="G124" s="7">
        <v>1500</v>
      </c>
      <c r="H124" s="7">
        <v>20</v>
      </c>
      <c r="I124" s="2" t="s">
        <v>98</v>
      </c>
      <c r="J124" s="2" t="s">
        <v>47</v>
      </c>
      <c r="K124" s="2" t="s">
        <v>75</v>
      </c>
      <c r="L124" s="2" t="s">
        <v>49</v>
      </c>
      <c r="M124" s="5">
        <v>3600</v>
      </c>
    </row>
    <row r="125" spans="1:13">
      <c r="A125" s="2" t="s">
        <v>228</v>
      </c>
      <c r="B125" s="3">
        <v>44973</v>
      </c>
      <c r="C125" s="2" t="s">
        <v>106</v>
      </c>
      <c r="D125" s="2" t="s">
        <v>52</v>
      </c>
      <c r="E125" s="2" t="s">
        <v>42</v>
      </c>
      <c r="F125" s="7">
        <v>4</v>
      </c>
      <c r="G125" s="7">
        <v>1900</v>
      </c>
      <c r="H125" s="7">
        <v>5</v>
      </c>
      <c r="I125" s="2" t="s">
        <v>54</v>
      </c>
      <c r="J125" s="2" t="s">
        <v>19</v>
      </c>
      <c r="K125" s="2" t="s">
        <v>48</v>
      </c>
      <c r="L125" s="2" t="s">
        <v>49</v>
      </c>
      <c r="M125" s="5">
        <v>7220</v>
      </c>
    </row>
    <row r="126" spans="1:13">
      <c r="A126" s="2" t="s">
        <v>229</v>
      </c>
      <c r="B126" s="3">
        <v>44936</v>
      </c>
      <c r="C126" s="2" t="s">
        <v>140</v>
      </c>
      <c r="D126" s="2" t="s">
        <v>63</v>
      </c>
      <c r="E126" s="2" t="s">
        <v>37</v>
      </c>
      <c r="F126" s="7">
        <v>1</v>
      </c>
      <c r="G126" s="7">
        <v>2200</v>
      </c>
      <c r="H126" s="7" t="s">
        <v>17</v>
      </c>
      <c r="I126" s="2" t="s">
        <v>18</v>
      </c>
      <c r="J126" s="2" t="s">
        <v>47</v>
      </c>
      <c r="K126" s="2" t="s">
        <v>48</v>
      </c>
      <c r="L126" s="2" t="s">
        <v>28</v>
      </c>
      <c r="M126" s="5" t="s">
        <v>17</v>
      </c>
    </row>
    <row r="127" spans="1:13">
      <c r="A127" s="2" t="s">
        <v>230</v>
      </c>
      <c r="B127" s="3">
        <v>45273</v>
      </c>
      <c r="C127" s="2" t="s">
        <v>84</v>
      </c>
      <c r="D127" s="2" t="s">
        <v>79</v>
      </c>
      <c r="E127" s="2" t="s">
        <v>69</v>
      </c>
      <c r="F127" s="7">
        <v>10</v>
      </c>
      <c r="G127" s="7">
        <v>950</v>
      </c>
      <c r="H127" s="7" t="s">
        <v>17</v>
      </c>
      <c r="I127" s="2" t="s">
        <v>98</v>
      </c>
      <c r="J127" s="2" t="s">
        <v>82</v>
      </c>
      <c r="K127" s="2" t="s">
        <v>33</v>
      </c>
      <c r="L127" s="2" t="s">
        <v>21</v>
      </c>
      <c r="M127" s="5" t="s">
        <v>17</v>
      </c>
    </row>
    <row r="128" spans="1:13">
      <c r="A128" s="2" t="s">
        <v>231</v>
      </c>
      <c r="B128" s="3">
        <v>45177</v>
      </c>
      <c r="C128" s="2" t="s">
        <v>147</v>
      </c>
      <c r="D128" s="2" t="s">
        <v>36</v>
      </c>
      <c r="E128" s="2" t="s">
        <v>37</v>
      </c>
      <c r="F128" s="7">
        <v>5</v>
      </c>
      <c r="G128" s="7">
        <v>1100</v>
      </c>
      <c r="H128" s="7" t="s">
        <v>17</v>
      </c>
      <c r="I128" s="2" t="s">
        <v>26</v>
      </c>
      <c r="J128" s="2" t="s">
        <v>74</v>
      </c>
      <c r="K128" s="2" t="s">
        <v>20</v>
      </c>
      <c r="L128" s="2" t="s">
        <v>21</v>
      </c>
      <c r="M128" s="5" t="s">
        <v>17</v>
      </c>
    </row>
    <row r="129" spans="1:13">
      <c r="A129" s="2" t="s">
        <v>232</v>
      </c>
      <c r="B129" s="3">
        <v>44947</v>
      </c>
      <c r="C129" s="2" t="s">
        <v>233</v>
      </c>
      <c r="D129" s="2" t="s">
        <v>68</v>
      </c>
      <c r="E129" s="2" t="s">
        <v>97</v>
      </c>
      <c r="F129" s="7">
        <v>3</v>
      </c>
      <c r="G129" s="7">
        <v>1200</v>
      </c>
      <c r="H129" s="7">
        <v>5</v>
      </c>
      <c r="I129" s="2" t="s">
        <v>26</v>
      </c>
      <c r="J129" s="2" t="s">
        <v>47</v>
      </c>
      <c r="K129" s="2" t="s">
        <v>33</v>
      </c>
      <c r="L129" s="2" t="s">
        <v>49</v>
      </c>
      <c r="M129" s="5">
        <v>3420</v>
      </c>
    </row>
    <row r="130" spans="1:13">
      <c r="A130" s="2" t="s">
        <v>234</v>
      </c>
      <c r="B130" s="3">
        <v>45017</v>
      </c>
      <c r="C130" s="2" t="s">
        <v>195</v>
      </c>
      <c r="D130" s="2" t="s">
        <v>41</v>
      </c>
      <c r="E130" s="2" t="s">
        <v>112</v>
      </c>
      <c r="F130" s="7">
        <v>0</v>
      </c>
      <c r="G130" s="7">
        <v>1500</v>
      </c>
      <c r="H130" s="7" t="s">
        <v>17</v>
      </c>
      <c r="I130" s="2" t="s">
        <v>98</v>
      </c>
      <c r="J130" s="2" t="s">
        <v>88</v>
      </c>
      <c r="K130" s="2" t="s">
        <v>75</v>
      </c>
      <c r="L130" s="2" t="s">
        <v>49</v>
      </c>
      <c r="M130" s="5" t="s">
        <v>17</v>
      </c>
    </row>
    <row r="131" spans="1:13">
      <c r="A131" s="2" t="s">
        <v>235</v>
      </c>
      <c r="B131" s="3">
        <v>45234</v>
      </c>
      <c r="C131" s="2" t="s">
        <v>142</v>
      </c>
      <c r="D131" s="2" t="s">
        <v>24</v>
      </c>
      <c r="E131" s="2" t="s">
        <v>16</v>
      </c>
      <c r="F131" s="7">
        <v>1</v>
      </c>
      <c r="G131" s="7">
        <v>400</v>
      </c>
      <c r="H131" s="7">
        <v>10</v>
      </c>
      <c r="I131" s="2" t="s">
        <v>98</v>
      </c>
      <c r="J131" s="2" t="s">
        <v>88</v>
      </c>
      <c r="K131" s="2" t="s">
        <v>43</v>
      </c>
      <c r="L131" s="2" t="s">
        <v>21</v>
      </c>
      <c r="M131" s="5">
        <v>360</v>
      </c>
    </row>
    <row r="132" spans="1:13">
      <c r="A132" s="2" t="s">
        <v>236</v>
      </c>
      <c r="B132" s="3">
        <v>45122</v>
      </c>
      <c r="C132" s="2" t="s">
        <v>71</v>
      </c>
      <c r="D132" s="2" t="s">
        <v>91</v>
      </c>
      <c r="E132" s="2" t="s">
        <v>46</v>
      </c>
      <c r="F132" s="7">
        <v>3</v>
      </c>
      <c r="G132" s="7">
        <v>700</v>
      </c>
      <c r="H132" s="7" t="s">
        <v>17</v>
      </c>
      <c r="I132" s="2" t="s">
        <v>98</v>
      </c>
      <c r="J132" s="2" t="s">
        <v>32</v>
      </c>
      <c r="K132" s="2" t="s">
        <v>27</v>
      </c>
      <c r="L132" s="2" t="s">
        <v>21</v>
      </c>
      <c r="M132" s="5" t="s">
        <v>17</v>
      </c>
    </row>
    <row r="133" spans="1:13">
      <c r="A133" s="2" t="s">
        <v>237</v>
      </c>
      <c r="B133" s="3">
        <v>45058</v>
      </c>
      <c r="C133" s="2" t="s">
        <v>35</v>
      </c>
      <c r="D133" s="2" t="s">
        <v>91</v>
      </c>
      <c r="E133" s="2" t="s">
        <v>53</v>
      </c>
      <c r="F133" s="7">
        <v>10</v>
      </c>
      <c r="G133" s="7">
        <v>700</v>
      </c>
      <c r="H133" s="7">
        <v>15</v>
      </c>
      <c r="I133" s="2" t="s">
        <v>18</v>
      </c>
      <c r="J133" s="2" t="s">
        <v>82</v>
      </c>
      <c r="K133" s="2" t="s">
        <v>33</v>
      </c>
      <c r="L133" s="2" t="s">
        <v>28</v>
      </c>
      <c r="M133" s="5">
        <v>5950</v>
      </c>
    </row>
    <row r="134" spans="1:13">
      <c r="A134" s="2" t="s">
        <v>238</v>
      </c>
      <c r="B134" s="3">
        <v>45514</v>
      </c>
      <c r="C134" s="2" t="s">
        <v>239</v>
      </c>
      <c r="D134" s="2" t="s">
        <v>63</v>
      </c>
      <c r="E134" s="2" t="s">
        <v>42</v>
      </c>
      <c r="F134" s="7">
        <v>-1</v>
      </c>
      <c r="G134" s="7">
        <v>2200</v>
      </c>
      <c r="H134" s="7" t="s">
        <v>17</v>
      </c>
      <c r="I134" s="2" t="s">
        <v>18</v>
      </c>
      <c r="J134" s="2" t="s">
        <v>47</v>
      </c>
      <c r="K134" s="2" t="s">
        <v>27</v>
      </c>
      <c r="L134" s="2" t="s">
        <v>21</v>
      </c>
      <c r="M134" s="5" t="s">
        <v>17</v>
      </c>
    </row>
    <row r="135" spans="1:13">
      <c r="A135" s="2" t="s">
        <v>240</v>
      </c>
      <c r="B135" s="3">
        <v>45332</v>
      </c>
      <c r="C135" s="2" t="s">
        <v>241</v>
      </c>
      <c r="D135" s="2" t="s">
        <v>24</v>
      </c>
      <c r="E135" s="2" t="s">
        <v>46</v>
      </c>
      <c r="F135" s="7">
        <v>0</v>
      </c>
      <c r="G135" s="7">
        <v>400</v>
      </c>
      <c r="H135" s="7">
        <v>15</v>
      </c>
      <c r="I135" s="2" t="s">
        <v>18</v>
      </c>
      <c r="J135" s="2" t="s">
        <v>19</v>
      </c>
      <c r="K135" s="2" t="s">
        <v>33</v>
      </c>
      <c r="L135" s="2" t="s">
        <v>49</v>
      </c>
      <c r="M135" s="5">
        <v>0</v>
      </c>
    </row>
    <row r="136" spans="1:13">
      <c r="A136" s="2" t="s">
        <v>242</v>
      </c>
      <c r="B136" s="3">
        <v>45322</v>
      </c>
      <c r="C136" s="2" t="s">
        <v>140</v>
      </c>
      <c r="D136" s="2" t="s">
        <v>57</v>
      </c>
      <c r="E136" s="2" t="s">
        <v>42</v>
      </c>
      <c r="F136" s="7">
        <v>-1</v>
      </c>
      <c r="G136" s="7">
        <v>2000</v>
      </c>
      <c r="H136" s="7">
        <v>20</v>
      </c>
      <c r="I136" s="2" t="s">
        <v>54</v>
      </c>
      <c r="J136" s="2" t="s">
        <v>32</v>
      </c>
      <c r="K136" s="2" t="s">
        <v>48</v>
      </c>
      <c r="L136" s="2" t="s">
        <v>21</v>
      </c>
      <c r="M136" s="5">
        <v>-1600</v>
      </c>
    </row>
    <row r="137" spans="1:13">
      <c r="A137" s="2" t="s">
        <v>243</v>
      </c>
      <c r="B137" s="3">
        <v>44982</v>
      </c>
      <c r="C137" s="2" t="s">
        <v>90</v>
      </c>
      <c r="D137" s="2" t="s">
        <v>91</v>
      </c>
      <c r="E137" s="2" t="s">
        <v>85</v>
      </c>
      <c r="F137" s="7">
        <v>2</v>
      </c>
      <c r="G137" s="7">
        <v>700</v>
      </c>
      <c r="H137" s="7" t="s">
        <v>17</v>
      </c>
      <c r="I137" s="2" t="s">
        <v>18</v>
      </c>
      <c r="J137" s="2" t="s">
        <v>82</v>
      </c>
      <c r="K137" s="2" t="s">
        <v>48</v>
      </c>
      <c r="L137" s="2" t="s">
        <v>49</v>
      </c>
      <c r="M137" s="5" t="s">
        <v>17</v>
      </c>
    </row>
    <row r="138" spans="1:13">
      <c r="A138" s="2" t="s">
        <v>244</v>
      </c>
      <c r="B138" s="3">
        <v>45350</v>
      </c>
      <c r="C138" s="2" t="s">
        <v>181</v>
      </c>
      <c r="D138" s="2" t="s">
        <v>68</v>
      </c>
      <c r="E138" s="2" t="s">
        <v>42</v>
      </c>
      <c r="F138" s="7">
        <v>10</v>
      </c>
      <c r="G138" s="7">
        <v>1200</v>
      </c>
      <c r="H138" s="7">
        <v>5</v>
      </c>
      <c r="I138" s="2" t="s">
        <v>98</v>
      </c>
      <c r="J138" s="2" t="s">
        <v>82</v>
      </c>
      <c r="K138" s="2" t="s">
        <v>27</v>
      </c>
      <c r="L138" s="2" t="s">
        <v>28</v>
      </c>
      <c r="M138" s="5">
        <v>11400</v>
      </c>
    </row>
    <row r="139" spans="1:13">
      <c r="A139" s="2" t="s">
        <v>245</v>
      </c>
      <c r="B139" s="3">
        <v>44965</v>
      </c>
      <c r="C139" s="2" t="s">
        <v>35</v>
      </c>
      <c r="D139" s="2" t="s">
        <v>36</v>
      </c>
      <c r="E139" s="2" t="s">
        <v>97</v>
      </c>
      <c r="F139" s="7">
        <v>3</v>
      </c>
      <c r="G139" s="7">
        <v>1100</v>
      </c>
      <c r="H139" s="7">
        <v>5</v>
      </c>
      <c r="I139" s="2" t="s">
        <v>60</v>
      </c>
      <c r="J139" s="2" t="s">
        <v>47</v>
      </c>
      <c r="K139" s="2" t="s">
        <v>43</v>
      </c>
      <c r="L139" s="2" t="s">
        <v>28</v>
      </c>
      <c r="M139" s="5">
        <v>3135</v>
      </c>
    </row>
    <row r="140" spans="1:13">
      <c r="A140" s="2" t="s">
        <v>246</v>
      </c>
      <c r="B140" s="3">
        <v>45491</v>
      </c>
      <c r="C140" s="2" t="s">
        <v>241</v>
      </c>
      <c r="D140" s="2" t="s">
        <v>24</v>
      </c>
      <c r="E140" s="2" t="s">
        <v>73</v>
      </c>
      <c r="F140" s="7">
        <v>2</v>
      </c>
      <c r="G140" s="7">
        <v>400</v>
      </c>
      <c r="H140" s="7">
        <v>20</v>
      </c>
      <c r="I140" s="2" t="s">
        <v>54</v>
      </c>
      <c r="J140" s="2" t="s">
        <v>74</v>
      </c>
      <c r="K140" s="2" t="s">
        <v>48</v>
      </c>
      <c r="L140" s="2" t="s">
        <v>28</v>
      </c>
      <c r="M140" s="5">
        <v>640</v>
      </c>
    </row>
    <row r="141" spans="1:13">
      <c r="A141" s="2" t="s">
        <v>247</v>
      </c>
      <c r="B141" s="3">
        <v>44990</v>
      </c>
      <c r="C141" s="2" t="s">
        <v>96</v>
      </c>
      <c r="D141" s="2" t="s">
        <v>24</v>
      </c>
      <c r="E141" s="2" t="s">
        <v>69</v>
      </c>
      <c r="F141" s="7">
        <v>-1</v>
      </c>
      <c r="G141" s="7">
        <v>400</v>
      </c>
      <c r="H141" s="7">
        <v>20</v>
      </c>
      <c r="I141" s="2" t="s">
        <v>18</v>
      </c>
      <c r="J141" s="2" t="s">
        <v>19</v>
      </c>
      <c r="K141" s="2" t="s">
        <v>33</v>
      </c>
      <c r="L141" s="2" t="s">
        <v>21</v>
      </c>
      <c r="M141" s="5">
        <v>-320</v>
      </c>
    </row>
    <row r="142" spans="1:13">
      <c r="A142" s="2" t="s">
        <v>248</v>
      </c>
      <c r="B142" s="3">
        <v>45114</v>
      </c>
      <c r="C142" s="2" t="s">
        <v>103</v>
      </c>
      <c r="D142" s="2" t="s">
        <v>57</v>
      </c>
      <c r="E142" s="2" t="s">
        <v>42</v>
      </c>
      <c r="F142" s="7">
        <v>2</v>
      </c>
      <c r="G142" s="7">
        <v>2000</v>
      </c>
      <c r="H142" s="7" t="s">
        <v>17</v>
      </c>
      <c r="I142" s="2" t="s">
        <v>18</v>
      </c>
      <c r="J142" s="2" t="s">
        <v>32</v>
      </c>
      <c r="K142" s="2" t="s">
        <v>33</v>
      </c>
      <c r="L142" s="2" t="s">
        <v>28</v>
      </c>
      <c r="M142" s="5" t="s">
        <v>17</v>
      </c>
    </row>
    <row r="143" spans="1:13">
      <c r="A143" s="2" t="s">
        <v>249</v>
      </c>
      <c r="B143" s="3">
        <v>45101</v>
      </c>
      <c r="C143" s="2" t="s">
        <v>250</v>
      </c>
      <c r="D143" s="2" t="s">
        <v>91</v>
      </c>
      <c r="E143" s="2" t="s">
        <v>97</v>
      </c>
      <c r="F143" s="7">
        <v>3</v>
      </c>
      <c r="G143" s="7">
        <v>700</v>
      </c>
      <c r="H143" s="7">
        <v>5</v>
      </c>
      <c r="I143" s="2" t="s">
        <v>18</v>
      </c>
      <c r="J143" s="2" t="s">
        <v>82</v>
      </c>
      <c r="K143" s="2" t="s">
        <v>27</v>
      </c>
      <c r="L143" s="2" t="s">
        <v>28</v>
      </c>
      <c r="M143" s="5">
        <v>1995</v>
      </c>
    </row>
    <row r="144" spans="1:13">
      <c r="A144" s="2" t="s">
        <v>251</v>
      </c>
      <c r="B144" s="3">
        <v>45117</v>
      </c>
      <c r="C144" s="2" t="s">
        <v>94</v>
      </c>
      <c r="D144" s="2" t="s">
        <v>72</v>
      </c>
      <c r="E144" s="2" t="s">
        <v>97</v>
      </c>
      <c r="F144" s="7">
        <v>4</v>
      </c>
      <c r="G144" s="7">
        <v>500</v>
      </c>
      <c r="H144" s="7">
        <v>20</v>
      </c>
      <c r="I144" s="2" t="s">
        <v>54</v>
      </c>
      <c r="J144" s="2" t="s">
        <v>19</v>
      </c>
      <c r="K144" s="2" t="s">
        <v>33</v>
      </c>
      <c r="L144" s="2" t="s">
        <v>28</v>
      </c>
      <c r="M144" s="5">
        <v>1600</v>
      </c>
    </row>
    <row r="145" spans="1:13">
      <c r="A145" s="2" t="s">
        <v>252</v>
      </c>
      <c r="B145" s="3">
        <v>45364</v>
      </c>
      <c r="C145" s="2" t="s">
        <v>253</v>
      </c>
      <c r="D145" s="2" t="s">
        <v>72</v>
      </c>
      <c r="E145" s="2" t="s">
        <v>16</v>
      </c>
      <c r="F145" s="7">
        <v>1</v>
      </c>
      <c r="G145" s="7">
        <v>500</v>
      </c>
      <c r="H145" s="7" t="s">
        <v>17</v>
      </c>
      <c r="I145" s="2" t="s">
        <v>98</v>
      </c>
      <c r="J145" s="2" t="s">
        <v>19</v>
      </c>
      <c r="K145" s="2" t="s">
        <v>33</v>
      </c>
      <c r="L145" s="2" t="s">
        <v>21</v>
      </c>
      <c r="M145" s="5" t="s">
        <v>17</v>
      </c>
    </row>
    <row r="146" spans="1:13">
      <c r="A146" s="2" t="s">
        <v>254</v>
      </c>
      <c r="B146" s="3">
        <v>44982</v>
      </c>
      <c r="C146" s="2" t="s">
        <v>45</v>
      </c>
      <c r="D146" s="2" t="s">
        <v>57</v>
      </c>
      <c r="E146" s="2" t="s">
        <v>73</v>
      </c>
      <c r="F146" s="7">
        <v>10</v>
      </c>
      <c r="G146" s="7">
        <v>2000</v>
      </c>
      <c r="H146" s="7" t="s">
        <v>17</v>
      </c>
      <c r="I146" s="2" t="s">
        <v>26</v>
      </c>
      <c r="J146" s="2" t="s">
        <v>19</v>
      </c>
      <c r="K146" s="2" t="s">
        <v>43</v>
      </c>
      <c r="L146" s="2" t="s">
        <v>28</v>
      </c>
      <c r="M146" s="5" t="s">
        <v>17</v>
      </c>
    </row>
    <row r="147" spans="1:13">
      <c r="A147" s="2" t="s">
        <v>255</v>
      </c>
      <c r="B147" s="3">
        <v>45512</v>
      </c>
      <c r="C147" s="2" t="s">
        <v>173</v>
      </c>
      <c r="D147" s="2" t="s">
        <v>91</v>
      </c>
      <c r="E147" s="2" t="s">
        <v>25</v>
      </c>
      <c r="F147" s="7">
        <v>5</v>
      </c>
      <c r="G147" s="7">
        <v>700</v>
      </c>
      <c r="H147" s="7">
        <v>10</v>
      </c>
      <c r="I147" s="2" t="s">
        <v>17</v>
      </c>
      <c r="J147" s="2" t="s">
        <v>47</v>
      </c>
      <c r="K147" s="2" t="s">
        <v>27</v>
      </c>
      <c r="L147" s="2" t="s">
        <v>49</v>
      </c>
      <c r="M147" s="5">
        <v>3150</v>
      </c>
    </row>
    <row r="148" spans="1:13">
      <c r="A148" s="2" t="s">
        <v>256</v>
      </c>
      <c r="B148" s="3">
        <v>45555</v>
      </c>
      <c r="C148" s="2" t="s">
        <v>96</v>
      </c>
      <c r="D148" s="2" t="s">
        <v>41</v>
      </c>
      <c r="E148" s="2" t="s">
        <v>37</v>
      </c>
      <c r="F148" s="7">
        <v>3</v>
      </c>
      <c r="G148" s="7">
        <v>1500</v>
      </c>
      <c r="H148" s="7" t="s">
        <v>17</v>
      </c>
      <c r="I148" s="2" t="s">
        <v>18</v>
      </c>
      <c r="J148" s="2" t="s">
        <v>74</v>
      </c>
      <c r="K148" s="2" t="s">
        <v>43</v>
      </c>
      <c r="L148" s="2" t="s">
        <v>21</v>
      </c>
      <c r="M148" s="5" t="s">
        <v>17</v>
      </c>
    </row>
    <row r="149" spans="1:13">
      <c r="A149" s="2" t="s">
        <v>257</v>
      </c>
      <c r="B149" s="3">
        <v>45103</v>
      </c>
      <c r="C149" s="2" t="s">
        <v>250</v>
      </c>
      <c r="D149" s="2" t="s">
        <v>63</v>
      </c>
      <c r="E149" s="2" t="s">
        <v>85</v>
      </c>
      <c r="F149" s="7">
        <v>0</v>
      </c>
      <c r="G149" s="7">
        <v>2200</v>
      </c>
      <c r="H149" s="7">
        <v>5</v>
      </c>
      <c r="I149" s="2" t="s">
        <v>98</v>
      </c>
      <c r="J149" s="2" t="s">
        <v>82</v>
      </c>
      <c r="K149" s="2" t="s">
        <v>38</v>
      </c>
      <c r="L149" s="2" t="s">
        <v>21</v>
      </c>
      <c r="M149" s="5">
        <v>0</v>
      </c>
    </row>
    <row r="150" spans="1:13">
      <c r="A150" s="2" t="s">
        <v>258</v>
      </c>
      <c r="B150" s="3">
        <v>45087</v>
      </c>
      <c r="C150" s="2" t="s">
        <v>170</v>
      </c>
      <c r="D150" s="2" t="s">
        <v>52</v>
      </c>
      <c r="E150" s="2" t="s">
        <v>16</v>
      </c>
      <c r="F150" s="7">
        <v>1</v>
      </c>
      <c r="G150" s="7">
        <v>1900</v>
      </c>
      <c r="H150" s="7" t="s">
        <v>17</v>
      </c>
      <c r="I150" s="2" t="s">
        <v>26</v>
      </c>
      <c r="J150" s="2" t="s">
        <v>19</v>
      </c>
      <c r="K150" s="2" t="s">
        <v>75</v>
      </c>
      <c r="L150" s="2" t="s">
        <v>28</v>
      </c>
      <c r="M150" s="5" t="s">
        <v>17</v>
      </c>
    </row>
    <row r="151" spans="1:13">
      <c r="A151" s="2" t="s">
        <v>259</v>
      </c>
      <c r="B151" s="3">
        <v>45017</v>
      </c>
      <c r="C151" s="2" t="s">
        <v>155</v>
      </c>
      <c r="D151" s="2" t="s">
        <v>41</v>
      </c>
      <c r="E151" s="2" t="s">
        <v>73</v>
      </c>
      <c r="F151" s="7">
        <v>10</v>
      </c>
      <c r="G151" s="7">
        <v>1500</v>
      </c>
      <c r="H151" s="7">
        <v>0</v>
      </c>
      <c r="I151" s="2" t="s">
        <v>60</v>
      </c>
      <c r="J151" s="2" t="s">
        <v>19</v>
      </c>
      <c r="K151" s="2" t="s">
        <v>20</v>
      </c>
      <c r="L151" s="2" t="s">
        <v>28</v>
      </c>
      <c r="M151" s="5">
        <v>15000</v>
      </c>
    </row>
    <row r="152" spans="1:13">
      <c r="A152" s="2" t="s">
        <v>260</v>
      </c>
      <c r="B152" s="3">
        <v>45185</v>
      </c>
      <c r="C152" s="2" t="s">
        <v>253</v>
      </c>
      <c r="D152" s="2" t="s">
        <v>79</v>
      </c>
      <c r="E152" s="2" t="s">
        <v>112</v>
      </c>
      <c r="F152" s="7">
        <v>10</v>
      </c>
      <c r="G152" s="7">
        <v>950</v>
      </c>
      <c r="H152" s="7">
        <v>20</v>
      </c>
      <c r="I152" s="2" t="s">
        <v>98</v>
      </c>
      <c r="J152" s="2" t="s">
        <v>74</v>
      </c>
      <c r="K152" s="2" t="s">
        <v>75</v>
      </c>
      <c r="L152" s="2" t="s">
        <v>28</v>
      </c>
      <c r="M152" s="5">
        <v>7600</v>
      </c>
    </row>
    <row r="153" spans="1:13">
      <c r="A153" s="2" t="s">
        <v>261</v>
      </c>
      <c r="B153" s="3">
        <v>45030</v>
      </c>
      <c r="C153" s="2" t="s">
        <v>71</v>
      </c>
      <c r="D153" s="2" t="s">
        <v>91</v>
      </c>
      <c r="E153" s="2" t="s">
        <v>42</v>
      </c>
      <c r="F153" s="7">
        <v>2</v>
      </c>
      <c r="G153" s="7">
        <v>700</v>
      </c>
      <c r="H153" s="7" t="s">
        <v>17</v>
      </c>
      <c r="I153" s="2" t="s">
        <v>60</v>
      </c>
      <c r="J153" s="2" t="s">
        <v>47</v>
      </c>
      <c r="K153" s="2" t="s">
        <v>43</v>
      </c>
      <c r="L153" s="2" t="s">
        <v>21</v>
      </c>
      <c r="M153" s="5" t="s">
        <v>17</v>
      </c>
    </row>
    <row r="154" spans="1:13">
      <c r="A154" s="2" t="s">
        <v>262</v>
      </c>
      <c r="B154" s="3">
        <v>45167</v>
      </c>
      <c r="C154" s="2" t="s">
        <v>131</v>
      </c>
      <c r="D154" s="2" t="s">
        <v>63</v>
      </c>
      <c r="E154" s="2" t="s">
        <v>87</v>
      </c>
      <c r="F154" s="7">
        <v>1</v>
      </c>
      <c r="G154" s="7">
        <v>2200</v>
      </c>
      <c r="H154" s="7">
        <v>5</v>
      </c>
      <c r="I154" s="2" t="s">
        <v>26</v>
      </c>
      <c r="J154" s="2" t="s">
        <v>32</v>
      </c>
      <c r="K154" s="2" t="s">
        <v>43</v>
      </c>
      <c r="L154" s="2" t="s">
        <v>21</v>
      </c>
      <c r="M154" s="5">
        <v>2090</v>
      </c>
    </row>
    <row r="155" spans="1:13">
      <c r="A155" s="2" t="s">
        <v>263</v>
      </c>
      <c r="B155" s="3">
        <v>45101</v>
      </c>
      <c r="C155" s="2" t="s">
        <v>264</v>
      </c>
      <c r="D155" s="2" t="s">
        <v>41</v>
      </c>
      <c r="E155" s="2" t="s">
        <v>73</v>
      </c>
      <c r="F155" s="7">
        <v>4</v>
      </c>
      <c r="G155" s="7">
        <v>1500</v>
      </c>
      <c r="H155" s="7" t="s">
        <v>17</v>
      </c>
      <c r="I155" s="2" t="s">
        <v>54</v>
      </c>
      <c r="J155" s="2" t="s">
        <v>47</v>
      </c>
      <c r="K155" s="2" t="s">
        <v>48</v>
      </c>
      <c r="L155" s="2" t="s">
        <v>49</v>
      </c>
      <c r="M155" s="5" t="s">
        <v>17</v>
      </c>
    </row>
    <row r="156" spans="1:13">
      <c r="A156" s="2" t="s">
        <v>265</v>
      </c>
      <c r="B156" s="3">
        <v>45380</v>
      </c>
      <c r="C156" s="2" t="s">
        <v>62</v>
      </c>
      <c r="D156" s="2" t="s">
        <v>57</v>
      </c>
      <c r="E156" s="2" t="s">
        <v>46</v>
      </c>
      <c r="F156" s="7">
        <v>3</v>
      </c>
      <c r="G156" s="7">
        <v>2000</v>
      </c>
      <c r="H156" s="7" t="s">
        <v>17</v>
      </c>
      <c r="I156" s="2" t="s">
        <v>54</v>
      </c>
      <c r="J156" s="2" t="s">
        <v>19</v>
      </c>
      <c r="K156" s="2" t="s">
        <v>20</v>
      </c>
      <c r="L156" s="2" t="s">
        <v>49</v>
      </c>
      <c r="M156" s="5" t="s">
        <v>17</v>
      </c>
    </row>
    <row r="157" spans="1:13">
      <c r="A157" s="2" t="s">
        <v>266</v>
      </c>
      <c r="B157" s="3">
        <v>45013</v>
      </c>
      <c r="C157" s="2" t="s">
        <v>147</v>
      </c>
      <c r="D157" s="2" t="s">
        <v>72</v>
      </c>
      <c r="E157" s="2" t="s">
        <v>73</v>
      </c>
      <c r="F157" s="7">
        <v>1</v>
      </c>
      <c r="G157" s="7">
        <v>500</v>
      </c>
      <c r="H157" s="7">
        <v>0</v>
      </c>
      <c r="I157" s="2" t="s">
        <v>26</v>
      </c>
      <c r="J157" s="2" t="s">
        <v>19</v>
      </c>
      <c r="K157" s="2" t="s">
        <v>43</v>
      </c>
      <c r="L157" s="2" t="s">
        <v>21</v>
      </c>
      <c r="M157" s="5">
        <v>500</v>
      </c>
    </row>
    <row r="158" spans="1:13">
      <c r="A158" s="2" t="s">
        <v>267</v>
      </c>
      <c r="B158" s="3">
        <v>45237</v>
      </c>
      <c r="C158" s="2" t="s">
        <v>239</v>
      </c>
      <c r="D158" s="2" t="s">
        <v>15</v>
      </c>
      <c r="E158" s="2" t="s">
        <v>87</v>
      </c>
      <c r="F158" s="7">
        <v>1</v>
      </c>
      <c r="G158" s="7">
        <v>1750</v>
      </c>
      <c r="H158" s="7">
        <v>20</v>
      </c>
      <c r="I158" s="2" t="s">
        <v>18</v>
      </c>
      <c r="J158" s="2" t="s">
        <v>32</v>
      </c>
      <c r="K158" s="2" t="s">
        <v>27</v>
      </c>
      <c r="L158" s="2" t="s">
        <v>21</v>
      </c>
      <c r="M158" s="5">
        <v>1400</v>
      </c>
    </row>
    <row r="159" spans="1:13">
      <c r="A159" s="2" t="s">
        <v>268</v>
      </c>
      <c r="B159" s="3">
        <v>45553</v>
      </c>
      <c r="C159" s="2" t="s">
        <v>144</v>
      </c>
      <c r="D159" s="2" t="s">
        <v>63</v>
      </c>
      <c r="E159" s="2" t="s">
        <v>25</v>
      </c>
      <c r="F159" s="7">
        <v>10</v>
      </c>
      <c r="G159" s="7">
        <v>2200</v>
      </c>
      <c r="H159" s="7">
        <v>15</v>
      </c>
      <c r="I159" s="2" t="s">
        <v>26</v>
      </c>
      <c r="J159" s="2" t="s">
        <v>82</v>
      </c>
      <c r="K159" s="2" t="s">
        <v>48</v>
      </c>
      <c r="L159" s="2" t="s">
        <v>49</v>
      </c>
      <c r="M159" s="5">
        <v>18700</v>
      </c>
    </row>
    <row r="160" spans="1:13">
      <c r="A160" s="2" t="s">
        <v>269</v>
      </c>
      <c r="B160" s="3">
        <v>45143</v>
      </c>
      <c r="C160" s="2" t="s">
        <v>181</v>
      </c>
      <c r="D160" s="2" t="s">
        <v>36</v>
      </c>
      <c r="E160" s="2" t="s">
        <v>53</v>
      </c>
      <c r="F160" s="7">
        <v>0</v>
      </c>
      <c r="G160" s="7">
        <v>1100</v>
      </c>
      <c r="H160" s="7">
        <v>10</v>
      </c>
      <c r="I160" s="2" t="s">
        <v>26</v>
      </c>
      <c r="J160" s="2" t="s">
        <v>47</v>
      </c>
      <c r="K160" s="2" t="s">
        <v>27</v>
      </c>
      <c r="L160" s="2" t="s">
        <v>49</v>
      </c>
      <c r="M160" s="5">
        <v>0</v>
      </c>
    </row>
    <row r="161" spans="1:13">
      <c r="A161" s="2" t="s">
        <v>270</v>
      </c>
      <c r="B161" s="3">
        <v>45236</v>
      </c>
      <c r="C161" s="2" t="s">
        <v>149</v>
      </c>
      <c r="D161" s="2" t="s">
        <v>41</v>
      </c>
      <c r="E161" s="2" t="s">
        <v>73</v>
      </c>
      <c r="F161" s="7">
        <v>3</v>
      </c>
      <c r="G161" s="7">
        <v>1500</v>
      </c>
      <c r="H161" s="7">
        <v>5</v>
      </c>
      <c r="I161" s="2" t="s">
        <v>98</v>
      </c>
      <c r="J161" s="2" t="s">
        <v>47</v>
      </c>
      <c r="K161" s="2" t="s">
        <v>27</v>
      </c>
      <c r="L161" s="2" t="s">
        <v>21</v>
      </c>
      <c r="M161" s="5">
        <v>4275</v>
      </c>
    </row>
    <row r="162" spans="1:13">
      <c r="A162" s="2" t="s">
        <v>271</v>
      </c>
      <c r="B162" s="3">
        <v>45111</v>
      </c>
      <c r="C162" s="2" t="s">
        <v>84</v>
      </c>
      <c r="D162" s="2" t="s">
        <v>57</v>
      </c>
      <c r="E162" s="2" t="s">
        <v>16</v>
      </c>
      <c r="F162" s="7">
        <v>5</v>
      </c>
      <c r="G162" s="7">
        <v>2000</v>
      </c>
      <c r="H162" s="7" t="s">
        <v>17</v>
      </c>
      <c r="I162" s="2" t="s">
        <v>18</v>
      </c>
      <c r="J162" s="2" t="s">
        <v>32</v>
      </c>
      <c r="K162" s="2" t="s">
        <v>75</v>
      </c>
      <c r="L162" s="2" t="s">
        <v>49</v>
      </c>
      <c r="M162" s="5" t="s">
        <v>17</v>
      </c>
    </row>
    <row r="163" spans="1:13">
      <c r="A163" s="2" t="s">
        <v>272</v>
      </c>
      <c r="B163" s="3">
        <v>45516</v>
      </c>
      <c r="C163" s="2" t="s">
        <v>131</v>
      </c>
      <c r="D163" s="2" t="s">
        <v>72</v>
      </c>
      <c r="E163" s="2" t="s">
        <v>112</v>
      </c>
      <c r="F163" s="7">
        <v>4</v>
      </c>
      <c r="G163" s="7">
        <v>500</v>
      </c>
      <c r="H163" s="7" t="s">
        <v>17</v>
      </c>
      <c r="I163" s="2" t="s">
        <v>60</v>
      </c>
      <c r="J163" s="2" t="s">
        <v>88</v>
      </c>
      <c r="K163" s="2" t="s">
        <v>38</v>
      </c>
      <c r="L163" s="2" t="s">
        <v>21</v>
      </c>
      <c r="M163" s="5" t="s">
        <v>17</v>
      </c>
    </row>
    <row r="164" spans="1:13">
      <c r="A164" s="2" t="s">
        <v>273</v>
      </c>
      <c r="B164" s="3">
        <v>45067</v>
      </c>
      <c r="C164" s="2" t="s">
        <v>71</v>
      </c>
      <c r="D164" s="2" t="s">
        <v>57</v>
      </c>
      <c r="E164" s="2" t="s">
        <v>16</v>
      </c>
      <c r="F164" s="7">
        <v>2</v>
      </c>
      <c r="G164" s="7">
        <v>2000</v>
      </c>
      <c r="H164" s="7">
        <v>15</v>
      </c>
      <c r="I164" s="2" t="s">
        <v>98</v>
      </c>
      <c r="J164" s="2" t="s">
        <v>74</v>
      </c>
      <c r="K164" s="2" t="s">
        <v>27</v>
      </c>
      <c r="L164" s="2" t="s">
        <v>49</v>
      </c>
      <c r="M164" s="5">
        <v>3400</v>
      </c>
    </row>
    <row r="165" spans="1:13">
      <c r="A165" s="2" t="s">
        <v>274</v>
      </c>
      <c r="B165" s="3">
        <v>44970</v>
      </c>
      <c r="C165" s="2" t="s">
        <v>71</v>
      </c>
      <c r="D165" s="2" t="s">
        <v>79</v>
      </c>
      <c r="E165" s="2" t="s">
        <v>42</v>
      </c>
      <c r="F165" s="7">
        <v>1</v>
      </c>
      <c r="G165" s="7">
        <v>950</v>
      </c>
      <c r="H165" s="7">
        <v>10</v>
      </c>
      <c r="I165" s="2" t="s">
        <v>54</v>
      </c>
      <c r="J165" s="2" t="s">
        <v>88</v>
      </c>
      <c r="K165" s="2" t="s">
        <v>75</v>
      </c>
      <c r="L165" s="2" t="s">
        <v>49</v>
      </c>
      <c r="M165" s="5">
        <v>855</v>
      </c>
    </row>
    <row r="166" spans="1:13">
      <c r="A166" s="2" t="s">
        <v>275</v>
      </c>
      <c r="B166" s="3">
        <v>45427</v>
      </c>
      <c r="C166" s="2" t="s">
        <v>106</v>
      </c>
      <c r="D166" s="2" t="s">
        <v>36</v>
      </c>
      <c r="E166" s="2" t="s">
        <v>85</v>
      </c>
      <c r="F166" s="7">
        <v>-1</v>
      </c>
      <c r="G166" s="7">
        <v>1100</v>
      </c>
      <c r="H166" s="7" t="s">
        <v>17</v>
      </c>
      <c r="I166" s="2" t="s">
        <v>26</v>
      </c>
      <c r="J166" s="2" t="s">
        <v>32</v>
      </c>
      <c r="K166" s="2" t="s">
        <v>33</v>
      </c>
      <c r="L166" s="2" t="s">
        <v>28</v>
      </c>
      <c r="M166" s="5" t="s">
        <v>17</v>
      </c>
    </row>
    <row r="167" spans="1:13">
      <c r="A167" s="2" t="s">
        <v>276</v>
      </c>
      <c r="B167" s="3">
        <v>45273</v>
      </c>
      <c r="C167" s="2" t="s">
        <v>94</v>
      </c>
      <c r="D167" s="2" t="s">
        <v>24</v>
      </c>
      <c r="E167" s="2" t="s">
        <v>46</v>
      </c>
      <c r="F167" s="7">
        <v>5</v>
      </c>
      <c r="G167" s="7">
        <v>400</v>
      </c>
      <c r="H167" s="7">
        <v>0</v>
      </c>
      <c r="I167" s="2" t="s">
        <v>98</v>
      </c>
      <c r="J167" s="2" t="s">
        <v>32</v>
      </c>
      <c r="K167" s="2" t="s">
        <v>48</v>
      </c>
      <c r="L167" s="2" t="s">
        <v>49</v>
      </c>
      <c r="M167" s="5">
        <v>2000</v>
      </c>
    </row>
    <row r="168" spans="1:13">
      <c r="A168" s="2" t="s">
        <v>277</v>
      </c>
      <c r="B168" s="3">
        <v>45024</v>
      </c>
      <c r="C168" s="2" t="s">
        <v>56</v>
      </c>
      <c r="D168" s="2" t="s">
        <v>31</v>
      </c>
      <c r="E168" s="2" t="s">
        <v>85</v>
      </c>
      <c r="F168" s="7">
        <v>5</v>
      </c>
      <c r="G168" s="7">
        <v>800</v>
      </c>
      <c r="H168" s="7">
        <v>5</v>
      </c>
      <c r="I168" s="2" t="s">
        <v>54</v>
      </c>
      <c r="J168" s="2" t="s">
        <v>32</v>
      </c>
      <c r="K168" s="2" t="s">
        <v>27</v>
      </c>
      <c r="L168" s="2" t="s">
        <v>49</v>
      </c>
      <c r="M168" s="5">
        <v>3800</v>
      </c>
    </row>
    <row r="169" spans="1:13">
      <c r="A169" s="2" t="s">
        <v>278</v>
      </c>
      <c r="B169" s="3">
        <v>45181</v>
      </c>
      <c r="C169" s="2" t="s">
        <v>30</v>
      </c>
      <c r="D169" s="2" t="s">
        <v>52</v>
      </c>
      <c r="E169" s="2" t="s">
        <v>16</v>
      </c>
      <c r="F169" s="7">
        <v>4</v>
      </c>
      <c r="G169" s="7">
        <v>1900</v>
      </c>
      <c r="H169" s="7" t="s">
        <v>17</v>
      </c>
      <c r="I169" s="2" t="s">
        <v>26</v>
      </c>
      <c r="J169" s="2" t="s">
        <v>82</v>
      </c>
      <c r="K169" s="2" t="s">
        <v>43</v>
      </c>
      <c r="L169" s="2" t="s">
        <v>28</v>
      </c>
      <c r="M169" s="5" t="s">
        <v>17</v>
      </c>
    </row>
    <row r="170" spans="1:13">
      <c r="A170" s="2" t="s">
        <v>279</v>
      </c>
      <c r="B170" s="3">
        <v>45036</v>
      </c>
      <c r="C170" s="2" t="s">
        <v>23</v>
      </c>
      <c r="D170" s="2" t="s">
        <v>79</v>
      </c>
      <c r="E170" s="2" t="s">
        <v>87</v>
      </c>
      <c r="F170" s="7">
        <v>1</v>
      </c>
      <c r="G170" s="7">
        <v>950</v>
      </c>
      <c r="H170" s="7">
        <v>20</v>
      </c>
      <c r="I170" s="2" t="s">
        <v>18</v>
      </c>
      <c r="J170" s="2" t="s">
        <v>47</v>
      </c>
      <c r="K170" s="2" t="s">
        <v>27</v>
      </c>
      <c r="L170" s="2" t="s">
        <v>21</v>
      </c>
      <c r="M170" s="5">
        <v>760</v>
      </c>
    </row>
    <row r="171" spans="1:13">
      <c r="A171" s="2" t="s">
        <v>280</v>
      </c>
      <c r="B171" s="3">
        <v>45090</v>
      </c>
      <c r="C171" s="2" t="s">
        <v>281</v>
      </c>
      <c r="D171" s="2" t="s">
        <v>36</v>
      </c>
      <c r="E171" s="2" t="s">
        <v>73</v>
      </c>
      <c r="F171" s="7">
        <v>2</v>
      </c>
      <c r="G171" s="7">
        <v>1100</v>
      </c>
      <c r="H171" s="7" t="s">
        <v>17</v>
      </c>
      <c r="I171" s="2" t="s">
        <v>26</v>
      </c>
      <c r="J171" s="2" t="s">
        <v>82</v>
      </c>
      <c r="K171" s="2" t="s">
        <v>48</v>
      </c>
      <c r="L171" s="2" t="s">
        <v>21</v>
      </c>
      <c r="M171" s="5" t="s">
        <v>17</v>
      </c>
    </row>
    <row r="172" spans="1:13">
      <c r="A172" s="2" t="s">
        <v>282</v>
      </c>
      <c r="B172" s="3">
        <v>45270</v>
      </c>
      <c r="C172" s="2" t="s">
        <v>281</v>
      </c>
      <c r="D172" s="2" t="s">
        <v>91</v>
      </c>
      <c r="E172" s="2" t="s">
        <v>53</v>
      </c>
      <c r="F172" s="7">
        <v>2</v>
      </c>
      <c r="G172" s="7">
        <v>700</v>
      </c>
      <c r="H172" s="7" t="s">
        <v>17</v>
      </c>
      <c r="I172" s="2" t="s">
        <v>26</v>
      </c>
      <c r="J172" s="2" t="s">
        <v>47</v>
      </c>
      <c r="K172" s="2" t="s">
        <v>75</v>
      </c>
      <c r="L172" s="2" t="s">
        <v>49</v>
      </c>
      <c r="M172" s="5" t="s">
        <v>17</v>
      </c>
    </row>
    <row r="173" spans="1:13">
      <c r="A173" s="2" t="s">
        <v>283</v>
      </c>
      <c r="B173" s="3">
        <v>44938</v>
      </c>
      <c r="C173" s="2" t="s">
        <v>158</v>
      </c>
      <c r="D173" s="2" t="s">
        <v>36</v>
      </c>
      <c r="E173" s="2" t="s">
        <v>85</v>
      </c>
      <c r="F173" s="7">
        <v>4</v>
      </c>
      <c r="G173" s="7">
        <v>1100</v>
      </c>
      <c r="H173" s="7">
        <v>15</v>
      </c>
      <c r="I173" s="2" t="s">
        <v>26</v>
      </c>
      <c r="J173" s="2" t="s">
        <v>19</v>
      </c>
      <c r="K173" s="2" t="s">
        <v>43</v>
      </c>
      <c r="L173" s="2" t="s">
        <v>49</v>
      </c>
      <c r="M173" s="5">
        <v>3740</v>
      </c>
    </row>
    <row r="174" spans="1:13">
      <c r="A174" s="2" t="s">
        <v>284</v>
      </c>
      <c r="B174" s="3">
        <v>45519</v>
      </c>
      <c r="C174" s="2" t="s">
        <v>151</v>
      </c>
      <c r="D174" s="2" t="s">
        <v>91</v>
      </c>
      <c r="E174" s="2" t="s">
        <v>53</v>
      </c>
      <c r="F174" s="7">
        <v>2</v>
      </c>
      <c r="G174" s="7">
        <v>700</v>
      </c>
      <c r="H174" s="7">
        <v>5</v>
      </c>
      <c r="I174" s="2" t="s">
        <v>18</v>
      </c>
      <c r="J174" s="2" t="s">
        <v>32</v>
      </c>
      <c r="K174" s="2" t="s">
        <v>38</v>
      </c>
      <c r="L174" s="2" t="s">
        <v>28</v>
      </c>
      <c r="M174" s="5">
        <v>1330</v>
      </c>
    </row>
    <row r="175" spans="1:13">
      <c r="A175" s="2" t="s">
        <v>285</v>
      </c>
      <c r="B175" s="3">
        <v>45257</v>
      </c>
      <c r="C175" s="2" t="s">
        <v>67</v>
      </c>
      <c r="D175" s="2" t="s">
        <v>79</v>
      </c>
      <c r="E175" s="2" t="s">
        <v>97</v>
      </c>
      <c r="F175" s="7">
        <v>2</v>
      </c>
      <c r="G175" s="7">
        <v>950</v>
      </c>
      <c r="H175" s="7" t="s">
        <v>17</v>
      </c>
      <c r="I175" s="2" t="s">
        <v>98</v>
      </c>
      <c r="J175" s="2" t="s">
        <v>32</v>
      </c>
      <c r="K175" s="2" t="s">
        <v>38</v>
      </c>
      <c r="L175" s="2" t="s">
        <v>21</v>
      </c>
      <c r="M175" s="5" t="s">
        <v>17</v>
      </c>
    </row>
    <row r="176" spans="1:13">
      <c r="A176" s="2" t="s">
        <v>286</v>
      </c>
      <c r="B176" s="3">
        <v>45296</v>
      </c>
      <c r="C176" s="2" t="s">
        <v>120</v>
      </c>
      <c r="D176" s="2" t="s">
        <v>63</v>
      </c>
      <c r="E176" s="2" t="s">
        <v>37</v>
      </c>
      <c r="F176" s="7">
        <v>10</v>
      </c>
      <c r="G176" s="7">
        <v>2200</v>
      </c>
      <c r="H176" s="7">
        <v>10</v>
      </c>
      <c r="I176" s="2" t="s">
        <v>54</v>
      </c>
      <c r="J176" s="2" t="s">
        <v>19</v>
      </c>
      <c r="K176" s="2" t="s">
        <v>48</v>
      </c>
      <c r="L176" s="2" t="s">
        <v>49</v>
      </c>
      <c r="M176" s="5">
        <v>19800</v>
      </c>
    </row>
    <row r="177" spans="1:13">
      <c r="A177" s="2" t="s">
        <v>287</v>
      </c>
      <c r="B177" s="3">
        <v>45628</v>
      </c>
      <c r="C177" s="2" t="s">
        <v>253</v>
      </c>
      <c r="D177" s="2" t="s">
        <v>31</v>
      </c>
      <c r="E177" s="2" t="s">
        <v>97</v>
      </c>
      <c r="F177" s="7">
        <v>10</v>
      </c>
      <c r="G177" s="7">
        <v>800</v>
      </c>
      <c r="H177" s="7">
        <v>20</v>
      </c>
      <c r="I177" s="2" t="s">
        <v>26</v>
      </c>
      <c r="J177" s="2" t="s">
        <v>74</v>
      </c>
      <c r="K177" s="2" t="s">
        <v>75</v>
      </c>
      <c r="L177" s="2" t="s">
        <v>21</v>
      </c>
      <c r="M177" s="5">
        <v>6400</v>
      </c>
    </row>
    <row r="178" spans="1:13">
      <c r="A178" s="2" t="s">
        <v>288</v>
      </c>
      <c r="B178" s="3">
        <v>45173</v>
      </c>
      <c r="C178" s="2" t="s">
        <v>161</v>
      </c>
      <c r="D178" s="2" t="s">
        <v>52</v>
      </c>
      <c r="E178" s="2" t="s">
        <v>37</v>
      </c>
      <c r="F178" s="7">
        <v>1</v>
      </c>
      <c r="G178" s="7">
        <v>1900</v>
      </c>
      <c r="H178" s="7">
        <v>5</v>
      </c>
      <c r="I178" s="2" t="s">
        <v>54</v>
      </c>
      <c r="J178" s="2" t="s">
        <v>19</v>
      </c>
      <c r="K178" s="2" t="s">
        <v>43</v>
      </c>
      <c r="L178" s="2" t="s">
        <v>28</v>
      </c>
      <c r="M178" s="5">
        <v>1805</v>
      </c>
    </row>
    <row r="179" spans="1:13">
      <c r="A179" s="2" t="s">
        <v>289</v>
      </c>
      <c r="B179" s="3">
        <v>45416</v>
      </c>
      <c r="C179" s="2" t="s">
        <v>181</v>
      </c>
      <c r="D179" s="2" t="s">
        <v>68</v>
      </c>
      <c r="E179" s="2" t="s">
        <v>69</v>
      </c>
      <c r="F179" s="7">
        <v>4</v>
      </c>
      <c r="G179" s="7">
        <v>1200</v>
      </c>
      <c r="H179" s="7">
        <v>15</v>
      </c>
      <c r="I179" s="2" t="s">
        <v>17</v>
      </c>
      <c r="J179" s="2" t="s">
        <v>47</v>
      </c>
      <c r="K179" s="2" t="s">
        <v>33</v>
      </c>
      <c r="L179" s="2" t="s">
        <v>49</v>
      </c>
      <c r="M179" s="5">
        <v>4080</v>
      </c>
    </row>
    <row r="180" spans="1:13">
      <c r="A180" s="2" t="s">
        <v>290</v>
      </c>
      <c r="B180" s="3">
        <v>45528</v>
      </c>
      <c r="C180" s="2" t="s">
        <v>120</v>
      </c>
      <c r="D180" s="2" t="s">
        <v>36</v>
      </c>
      <c r="E180" s="2" t="s">
        <v>85</v>
      </c>
      <c r="F180" s="7">
        <v>1</v>
      </c>
      <c r="G180" s="7">
        <v>1100</v>
      </c>
      <c r="H180" s="7" t="s">
        <v>17</v>
      </c>
      <c r="I180" s="2" t="s">
        <v>17</v>
      </c>
      <c r="J180" s="2" t="s">
        <v>82</v>
      </c>
      <c r="K180" s="2" t="s">
        <v>48</v>
      </c>
      <c r="L180" s="2" t="s">
        <v>21</v>
      </c>
      <c r="M180" s="5" t="s">
        <v>17</v>
      </c>
    </row>
    <row r="181" spans="1:13">
      <c r="A181" s="2" t="s">
        <v>291</v>
      </c>
      <c r="B181" s="3">
        <v>45572</v>
      </c>
      <c r="C181" s="2" t="s">
        <v>127</v>
      </c>
      <c r="D181" s="2" t="s">
        <v>52</v>
      </c>
      <c r="E181" s="2" t="s">
        <v>73</v>
      </c>
      <c r="F181" s="7">
        <v>5</v>
      </c>
      <c r="G181" s="7">
        <v>1900</v>
      </c>
      <c r="H181" s="7" t="s">
        <v>17</v>
      </c>
      <c r="I181" s="2" t="s">
        <v>17</v>
      </c>
      <c r="J181" s="2" t="s">
        <v>47</v>
      </c>
      <c r="K181" s="2" t="s">
        <v>27</v>
      </c>
      <c r="L181" s="2" t="s">
        <v>49</v>
      </c>
      <c r="M181" s="5" t="s">
        <v>17</v>
      </c>
    </row>
    <row r="182" spans="1:13">
      <c r="A182" s="2" t="s">
        <v>292</v>
      </c>
      <c r="B182" s="3">
        <v>45317</v>
      </c>
      <c r="C182" s="2" t="s">
        <v>250</v>
      </c>
      <c r="D182" s="2" t="s">
        <v>72</v>
      </c>
      <c r="E182" s="2" t="s">
        <v>73</v>
      </c>
      <c r="F182" s="7">
        <v>5</v>
      </c>
      <c r="G182" s="7">
        <v>500</v>
      </c>
      <c r="H182" s="7" t="s">
        <v>17</v>
      </c>
      <c r="I182" s="2" t="s">
        <v>17</v>
      </c>
      <c r="J182" s="2" t="s">
        <v>47</v>
      </c>
      <c r="K182" s="2" t="s">
        <v>75</v>
      </c>
      <c r="L182" s="2" t="s">
        <v>21</v>
      </c>
      <c r="M182" s="5" t="s">
        <v>17</v>
      </c>
    </row>
    <row r="183" spans="1:13">
      <c r="A183" s="2" t="s">
        <v>293</v>
      </c>
      <c r="B183" s="3">
        <v>45057</v>
      </c>
      <c r="C183" s="2" t="s">
        <v>147</v>
      </c>
      <c r="D183" s="2" t="s">
        <v>72</v>
      </c>
      <c r="E183" s="2" t="s">
        <v>37</v>
      </c>
      <c r="F183" s="7">
        <v>1</v>
      </c>
      <c r="G183" s="7">
        <v>500</v>
      </c>
      <c r="H183" s="7">
        <v>20</v>
      </c>
      <c r="I183" s="2" t="s">
        <v>54</v>
      </c>
      <c r="J183" s="2" t="s">
        <v>32</v>
      </c>
      <c r="K183" s="2" t="s">
        <v>33</v>
      </c>
      <c r="L183" s="2" t="s">
        <v>49</v>
      </c>
      <c r="M183" s="5">
        <v>400</v>
      </c>
    </row>
    <row r="184" spans="1:13">
      <c r="A184" s="2" t="s">
        <v>294</v>
      </c>
      <c r="B184" s="3">
        <v>45105</v>
      </c>
      <c r="C184" s="2" t="s">
        <v>253</v>
      </c>
      <c r="D184" s="2" t="s">
        <v>41</v>
      </c>
      <c r="E184" s="2" t="s">
        <v>46</v>
      </c>
      <c r="F184" s="7">
        <v>-1</v>
      </c>
      <c r="G184" s="7">
        <v>1500</v>
      </c>
      <c r="H184" s="7">
        <v>15</v>
      </c>
      <c r="I184" s="2" t="s">
        <v>26</v>
      </c>
      <c r="J184" s="2" t="s">
        <v>19</v>
      </c>
      <c r="K184" s="2" t="s">
        <v>33</v>
      </c>
      <c r="L184" s="2" t="s">
        <v>21</v>
      </c>
      <c r="M184" s="5">
        <v>-1275</v>
      </c>
    </row>
    <row r="185" spans="1:13">
      <c r="A185" s="2" t="s">
        <v>295</v>
      </c>
      <c r="B185" s="3">
        <v>45173</v>
      </c>
      <c r="C185" s="2" t="s">
        <v>67</v>
      </c>
      <c r="D185" s="2" t="s">
        <v>24</v>
      </c>
      <c r="E185" s="2" t="s">
        <v>73</v>
      </c>
      <c r="F185" s="7">
        <v>-1</v>
      </c>
      <c r="G185" s="7">
        <v>400</v>
      </c>
      <c r="H185" s="7">
        <v>0</v>
      </c>
      <c r="I185" s="2" t="s">
        <v>26</v>
      </c>
      <c r="J185" s="2" t="s">
        <v>32</v>
      </c>
      <c r="K185" s="2" t="s">
        <v>75</v>
      </c>
      <c r="L185" s="2" t="s">
        <v>49</v>
      </c>
      <c r="M185" s="5">
        <v>-400</v>
      </c>
    </row>
    <row r="186" spans="1:13">
      <c r="A186" s="2" t="s">
        <v>296</v>
      </c>
      <c r="B186" s="3">
        <v>45016</v>
      </c>
      <c r="C186" s="2" t="s">
        <v>35</v>
      </c>
      <c r="D186" s="2" t="s">
        <v>36</v>
      </c>
      <c r="E186" s="2" t="s">
        <v>112</v>
      </c>
      <c r="F186" s="7">
        <v>4</v>
      </c>
      <c r="G186" s="7">
        <v>1100</v>
      </c>
      <c r="H186" s="7">
        <v>5</v>
      </c>
      <c r="I186" s="2" t="s">
        <v>54</v>
      </c>
      <c r="J186" s="2" t="s">
        <v>74</v>
      </c>
      <c r="K186" s="2" t="s">
        <v>27</v>
      </c>
      <c r="L186" s="2" t="s">
        <v>49</v>
      </c>
      <c r="M186" s="5">
        <v>4180</v>
      </c>
    </row>
    <row r="187" spans="1:13">
      <c r="A187" s="2" t="s">
        <v>297</v>
      </c>
      <c r="B187" s="3">
        <v>45355</v>
      </c>
      <c r="C187" s="2" t="s">
        <v>122</v>
      </c>
      <c r="D187" s="2" t="s">
        <v>63</v>
      </c>
      <c r="E187" s="2" t="s">
        <v>87</v>
      </c>
      <c r="F187" s="7">
        <v>5</v>
      </c>
      <c r="G187" s="7">
        <v>2200</v>
      </c>
      <c r="H187" s="7">
        <v>15</v>
      </c>
      <c r="I187" s="2" t="s">
        <v>18</v>
      </c>
      <c r="J187" s="2" t="s">
        <v>74</v>
      </c>
      <c r="K187" s="2" t="s">
        <v>43</v>
      </c>
      <c r="L187" s="2" t="s">
        <v>28</v>
      </c>
      <c r="M187" s="5">
        <v>9350</v>
      </c>
    </row>
    <row r="188" spans="1:13">
      <c r="A188" s="2" t="s">
        <v>298</v>
      </c>
      <c r="B188" s="3">
        <v>45562</v>
      </c>
      <c r="C188" s="2" t="s">
        <v>264</v>
      </c>
      <c r="D188" s="2" t="s">
        <v>15</v>
      </c>
      <c r="E188" s="2" t="s">
        <v>87</v>
      </c>
      <c r="F188" s="7">
        <v>4</v>
      </c>
      <c r="G188" s="7">
        <v>1750</v>
      </c>
      <c r="H188" s="7" t="s">
        <v>17</v>
      </c>
      <c r="I188" s="2" t="s">
        <v>60</v>
      </c>
      <c r="J188" s="2" t="s">
        <v>88</v>
      </c>
      <c r="K188" s="2" t="s">
        <v>33</v>
      </c>
      <c r="L188" s="2" t="s">
        <v>49</v>
      </c>
      <c r="M188" s="5" t="s">
        <v>17</v>
      </c>
    </row>
    <row r="189" spans="1:13">
      <c r="A189" s="2" t="s">
        <v>299</v>
      </c>
      <c r="B189" s="3">
        <v>45229</v>
      </c>
      <c r="C189" s="2" t="s">
        <v>67</v>
      </c>
      <c r="D189" s="2" t="s">
        <v>31</v>
      </c>
      <c r="E189" s="2" t="s">
        <v>87</v>
      </c>
      <c r="F189" s="7">
        <v>10</v>
      </c>
      <c r="G189" s="7">
        <v>800</v>
      </c>
      <c r="H189" s="7" t="s">
        <v>17</v>
      </c>
      <c r="I189" s="2" t="s">
        <v>17</v>
      </c>
      <c r="J189" s="2" t="s">
        <v>32</v>
      </c>
      <c r="K189" s="2" t="s">
        <v>38</v>
      </c>
      <c r="L189" s="2" t="s">
        <v>49</v>
      </c>
      <c r="M189" s="5" t="s">
        <v>17</v>
      </c>
    </row>
    <row r="190" spans="1:13">
      <c r="A190" s="2" t="s">
        <v>300</v>
      </c>
      <c r="B190" s="3">
        <v>45436</v>
      </c>
      <c r="C190" s="2" t="s">
        <v>94</v>
      </c>
      <c r="D190" s="2" t="s">
        <v>63</v>
      </c>
      <c r="E190" s="2" t="s">
        <v>97</v>
      </c>
      <c r="F190" s="7">
        <v>1</v>
      </c>
      <c r="G190" s="7">
        <v>2200</v>
      </c>
      <c r="H190" s="7" t="s">
        <v>17</v>
      </c>
      <c r="I190" s="2" t="s">
        <v>54</v>
      </c>
      <c r="J190" s="2" t="s">
        <v>32</v>
      </c>
      <c r="K190" s="2" t="s">
        <v>20</v>
      </c>
      <c r="L190" s="2" t="s">
        <v>21</v>
      </c>
      <c r="M190" s="5" t="s">
        <v>17</v>
      </c>
    </row>
    <row r="191" spans="1:13">
      <c r="A191" s="2" t="s">
        <v>301</v>
      </c>
      <c r="B191" s="3">
        <v>44935</v>
      </c>
      <c r="C191" s="2" t="s">
        <v>147</v>
      </c>
      <c r="D191" s="2" t="s">
        <v>63</v>
      </c>
      <c r="E191" s="2" t="s">
        <v>37</v>
      </c>
      <c r="F191" s="7">
        <v>1</v>
      </c>
      <c r="G191" s="7">
        <v>2200</v>
      </c>
      <c r="H191" s="7" t="s">
        <v>17</v>
      </c>
      <c r="I191" s="2" t="s">
        <v>98</v>
      </c>
      <c r="J191" s="2" t="s">
        <v>82</v>
      </c>
      <c r="K191" s="2" t="s">
        <v>43</v>
      </c>
      <c r="L191" s="2" t="s">
        <v>21</v>
      </c>
      <c r="M191" s="5" t="s">
        <v>17</v>
      </c>
    </row>
    <row r="192" spans="1:13">
      <c r="A192" s="2" t="s">
        <v>302</v>
      </c>
      <c r="B192" s="3">
        <v>45186</v>
      </c>
      <c r="C192" s="2" t="s">
        <v>45</v>
      </c>
      <c r="D192" s="2" t="s">
        <v>91</v>
      </c>
      <c r="E192" s="2" t="s">
        <v>112</v>
      </c>
      <c r="F192" s="7">
        <v>2</v>
      </c>
      <c r="G192" s="7">
        <v>700</v>
      </c>
      <c r="H192" s="7">
        <v>20</v>
      </c>
      <c r="I192" s="2" t="s">
        <v>60</v>
      </c>
      <c r="J192" s="2" t="s">
        <v>19</v>
      </c>
      <c r="K192" s="2" t="s">
        <v>38</v>
      </c>
      <c r="L192" s="2" t="s">
        <v>49</v>
      </c>
      <c r="M192" s="5">
        <v>1120</v>
      </c>
    </row>
    <row r="193" spans="1:13">
      <c r="A193" s="2" t="s">
        <v>303</v>
      </c>
      <c r="B193" s="3">
        <v>45044</v>
      </c>
      <c r="C193" s="2" t="s">
        <v>233</v>
      </c>
      <c r="D193" s="2" t="s">
        <v>57</v>
      </c>
      <c r="E193" s="2" t="s">
        <v>37</v>
      </c>
      <c r="F193" s="7">
        <v>4</v>
      </c>
      <c r="G193" s="7">
        <v>2000</v>
      </c>
      <c r="H193" s="7">
        <v>5</v>
      </c>
      <c r="I193" s="2" t="s">
        <v>98</v>
      </c>
      <c r="J193" s="2" t="s">
        <v>82</v>
      </c>
      <c r="K193" s="2" t="s">
        <v>20</v>
      </c>
      <c r="L193" s="2" t="s">
        <v>28</v>
      </c>
      <c r="M193" s="5">
        <v>7600</v>
      </c>
    </row>
    <row r="194" spans="1:13">
      <c r="A194" s="2" t="s">
        <v>304</v>
      </c>
      <c r="B194" s="3">
        <v>44931</v>
      </c>
      <c r="C194" s="2" t="s">
        <v>81</v>
      </c>
      <c r="D194" s="2" t="s">
        <v>24</v>
      </c>
      <c r="E194" s="2" t="s">
        <v>46</v>
      </c>
      <c r="F194" s="7">
        <v>2</v>
      </c>
      <c r="G194" s="7">
        <v>400</v>
      </c>
      <c r="H194" s="7">
        <v>15</v>
      </c>
      <c r="I194" s="2" t="s">
        <v>18</v>
      </c>
      <c r="J194" s="2" t="s">
        <v>19</v>
      </c>
      <c r="K194" s="2" t="s">
        <v>38</v>
      </c>
      <c r="L194" s="2" t="s">
        <v>49</v>
      </c>
      <c r="M194" s="5">
        <v>680</v>
      </c>
    </row>
    <row r="195" spans="1:13">
      <c r="A195" s="2" t="s">
        <v>305</v>
      </c>
      <c r="B195" s="3">
        <v>45557</v>
      </c>
      <c r="C195" s="2" t="s">
        <v>56</v>
      </c>
      <c r="D195" s="2" t="s">
        <v>41</v>
      </c>
      <c r="E195" s="2" t="s">
        <v>16</v>
      </c>
      <c r="F195" s="7">
        <v>2</v>
      </c>
      <c r="G195" s="7">
        <v>1500</v>
      </c>
      <c r="H195" s="7">
        <v>5</v>
      </c>
      <c r="I195" s="2" t="s">
        <v>26</v>
      </c>
      <c r="J195" s="2" t="s">
        <v>82</v>
      </c>
      <c r="K195" s="2" t="s">
        <v>48</v>
      </c>
      <c r="L195" s="2" t="s">
        <v>28</v>
      </c>
      <c r="M195" s="5">
        <v>2850</v>
      </c>
    </row>
    <row r="196" spans="1:13">
      <c r="A196" s="2" t="s">
        <v>306</v>
      </c>
      <c r="B196" s="3">
        <v>45211</v>
      </c>
      <c r="C196" s="2" t="s">
        <v>155</v>
      </c>
      <c r="D196" s="2" t="s">
        <v>24</v>
      </c>
      <c r="E196" s="2" t="s">
        <v>87</v>
      </c>
      <c r="F196" s="7">
        <v>-1</v>
      </c>
      <c r="G196" s="7">
        <v>400</v>
      </c>
      <c r="H196" s="7">
        <v>15</v>
      </c>
      <c r="I196" s="2" t="s">
        <v>54</v>
      </c>
      <c r="J196" s="2" t="s">
        <v>88</v>
      </c>
      <c r="K196" s="2" t="s">
        <v>75</v>
      </c>
      <c r="L196" s="2" t="s">
        <v>21</v>
      </c>
      <c r="M196" s="5">
        <v>-340</v>
      </c>
    </row>
    <row r="197" spans="1:13">
      <c r="A197" s="2" t="s">
        <v>307</v>
      </c>
      <c r="B197" s="3">
        <v>45229</v>
      </c>
      <c r="C197" s="2" t="s">
        <v>122</v>
      </c>
      <c r="D197" s="2" t="s">
        <v>63</v>
      </c>
      <c r="E197" s="2" t="s">
        <v>42</v>
      </c>
      <c r="F197" s="7">
        <v>1</v>
      </c>
      <c r="G197" s="7">
        <v>2200</v>
      </c>
      <c r="H197" s="7">
        <v>5</v>
      </c>
      <c r="I197" s="2" t="s">
        <v>98</v>
      </c>
      <c r="J197" s="2" t="s">
        <v>82</v>
      </c>
      <c r="K197" s="2" t="s">
        <v>38</v>
      </c>
      <c r="L197" s="2" t="s">
        <v>49</v>
      </c>
      <c r="M197" s="5">
        <v>2090</v>
      </c>
    </row>
    <row r="198" spans="1:13">
      <c r="A198" s="2" t="s">
        <v>308</v>
      </c>
      <c r="B198" s="3">
        <v>45194</v>
      </c>
      <c r="C198" s="2" t="s">
        <v>153</v>
      </c>
      <c r="D198" s="2" t="s">
        <v>79</v>
      </c>
      <c r="E198" s="2" t="s">
        <v>97</v>
      </c>
      <c r="F198" s="7">
        <v>2</v>
      </c>
      <c r="G198" s="7">
        <v>950</v>
      </c>
      <c r="H198" s="7">
        <v>10</v>
      </c>
      <c r="I198" s="2" t="s">
        <v>54</v>
      </c>
      <c r="J198" s="2" t="s">
        <v>19</v>
      </c>
      <c r="K198" s="2" t="s">
        <v>27</v>
      </c>
      <c r="L198" s="2" t="s">
        <v>28</v>
      </c>
      <c r="M198" s="5">
        <v>1710</v>
      </c>
    </row>
    <row r="199" spans="1:13">
      <c r="A199" s="2" t="s">
        <v>309</v>
      </c>
      <c r="B199" s="3">
        <v>44957</v>
      </c>
      <c r="C199" s="2" t="s">
        <v>155</v>
      </c>
      <c r="D199" s="2" t="s">
        <v>52</v>
      </c>
      <c r="E199" s="2" t="s">
        <v>25</v>
      </c>
      <c r="F199" s="7">
        <v>1</v>
      </c>
      <c r="G199" s="7">
        <v>1900</v>
      </c>
      <c r="H199" s="7" t="s">
        <v>17</v>
      </c>
      <c r="I199" s="2" t="s">
        <v>54</v>
      </c>
      <c r="J199" s="2" t="s">
        <v>47</v>
      </c>
      <c r="K199" s="2" t="s">
        <v>20</v>
      </c>
      <c r="L199" s="2" t="s">
        <v>21</v>
      </c>
      <c r="M199" s="5" t="s">
        <v>17</v>
      </c>
    </row>
    <row r="200" spans="1:13">
      <c r="A200" s="2" t="s">
        <v>310</v>
      </c>
      <c r="B200" s="3">
        <v>45282</v>
      </c>
      <c r="C200" s="2" t="s">
        <v>264</v>
      </c>
      <c r="D200" s="2" t="s">
        <v>41</v>
      </c>
      <c r="E200" s="2" t="s">
        <v>112</v>
      </c>
      <c r="F200" s="7">
        <v>2</v>
      </c>
      <c r="G200" s="7">
        <v>1500</v>
      </c>
      <c r="H200" s="7" t="s">
        <v>17</v>
      </c>
      <c r="I200" s="2" t="s">
        <v>17</v>
      </c>
      <c r="J200" s="2" t="s">
        <v>47</v>
      </c>
      <c r="K200" s="2" t="s">
        <v>48</v>
      </c>
      <c r="L200" s="2" t="s">
        <v>21</v>
      </c>
      <c r="M200" s="5" t="s">
        <v>17</v>
      </c>
    </row>
    <row r="201" spans="1:13">
      <c r="A201" s="2" t="s">
        <v>311</v>
      </c>
      <c r="B201" s="3">
        <v>44939</v>
      </c>
      <c r="C201" s="2" t="s">
        <v>65</v>
      </c>
      <c r="D201" s="2" t="s">
        <v>68</v>
      </c>
      <c r="E201" s="2" t="s">
        <v>37</v>
      </c>
      <c r="F201" s="7">
        <v>1</v>
      </c>
      <c r="G201" s="7">
        <v>1200</v>
      </c>
      <c r="H201" s="7" t="s">
        <v>17</v>
      </c>
      <c r="I201" s="2" t="s">
        <v>60</v>
      </c>
      <c r="J201" s="2" t="s">
        <v>88</v>
      </c>
      <c r="K201" s="2" t="s">
        <v>33</v>
      </c>
      <c r="L201" s="2" t="s">
        <v>21</v>
      </c>
      <c r="M201" s="5" t="s">
        <v>17</v>
      </c>
    </row>
    <row r="202" spans="1:13">
      <c r="A202" s="2" t="s">
        <v>312</v>
      </c>
      <c r="B202" s="3">
        <v>45510</v>
      </c>
      <c r="C202" s="2" t="s">
        <v>211</v>
      </c>
      <c r="D202" s="2" t="s">
        <v>24</v>
      </c>
      <c r="E202" s="2" t="s">
        <v>37</v>
      </c>
      <c r="F202" s="7">
        <v>-1</v>
      </c>
      <c r="G202" s="7">
        <v>400</v>
      </c>
      <c r="H202" s="7">
        <v>20</v>
      </c>
      <c r="I202" s="2" t="s">
        <v>54</v>
      </c>
      <c r="J202" s="2" t="s">
        <v>74</v>
      </c>
      <c r="K202" s="2" t="s">
        <v>33</v>
      </c>
      <c r="L202" s="2" t="s">
        <v>49</v>
      </c>
      <c r="M202" s="5">
        <v>-320</v>
      </c>
    </row>
    <row r="203" spans="1:13">
      <c r="A203" s="2" t="s">
        <v>313</v>
      </c>
      <c r="B203" s="3">
        <v>45083</v>
      </c>
      <c r="C203" s="2" t="s">
        <v>109</v>
      </c>
      <c r="D203" s="2" t="s">
        <v>91</v>
      </c>
      <c r="E203" s="2" t="s">
        <v>85</v>
      </c>
      <c r="F203" s="7">
        <v>1</v>
      </c>
      <c r="G203" s="7">
        <v>700</v>
      </c>
      <c r="H203" s="7">
        <v>20</v>
      </c>
      <c r="I203" s="2" t="s">
        <v>26</v>
      </c>
      <c r="J203" s="2" t="s">
        <v>74</v>
      </c>
      <c r="K203" s="2" t="s">
        <v>20</v>
      </c>
      <c r="L203" s="2" t="s">
        <v>21</v>
      </c>
      <c r="M203" s="5">
        <v>560</v>
      </c>
    </row>
    <row r="204" spans="1:13">
      <c r="A204" s="2" t="s">
        <v>314</v>
      </c>
      <c r="B204" s="3">
        <v>45179</v>
      </c>
      <c r="C204" s="2" t="s">
        <v>101</v>
      </c>
      <c r="D204" s="2" t="s">
        <v>52</v>
      </c>
      <c r="E204" s="2" t="s">
        <v>97</v>
      </c>
      <c r="F204" s="7">
        <v>1</v>
      </c>
      <c r="G204" s="7">
        <v>1900</v>
      </c>
      <c r="H204" s="7">
        <v>20</v>
      </c>
      <c r="I204" s="2" t="s">
        <v>17</v>
      </c>
      <c r="J204" s="2" t="s">
        <v>88</v>
      </c>
      <c r="K204" s="2" t="s">
        <v>33</v>
      </c>
      <c r="L204" s="2" t="s">
        <v>28</v>
      </c>
      <c r="M204" s="5">
        <v>1520</v>
      </c>
    </row>
    <row r="205" spans="1:13">
      <c r="A205" s="2" t="s">
        <v>315</v>
      </c>
      <c r="B205" s="3">
        <v>45007</v>
      </c>
      <c r="C205" s="2" t="s">
        <v>62</v>
      </c>
      <c r="D205" s="2" t="s">
        <v>68</v>
      </c>
      <c r="E205" s="2" t="s">
        <v>16</v>
      </c>
      <c r="F205" s="7">
        <v>2</v>
      </c>
      <c r="G205" s="7">
        <v>1200</v>
      </c>
      <c r="H205" s="7">
        <v>10</v>
      </c>
      <c r="I205" s="2" t="s">
        <v>54</v>
      </c>
      <c r="J205" s="2" t="s">
        <v>47</v>
      </c>
      <c r="K205" s="2" t="s">
        <v>38</v>
      </c>
      <c r="L205" s="2" t="s">
        <v>28</v>
      </c>
      <c r="M205" s="5">
        <v>2160</v>
      </c>
    </row>
    <row r="206" spans="1:13">
      <c r="A206" s="2" t="s">
        <v>316</v>
      </c>
      <c r="B206" s="3">
        <v>45566</v>
      </c>
      <c r="C206" s="2" t="s">
        <v>317</v>
      </c>
      <c r="D206" s="2" t="s">
        <v>41</v>
      </c>
      <c r="E206" s="2" t="s">
        <v>97</v>
      </c>
      <c r="F206" s="7">
        <v>4</v>
      </c>
      <c r="G206" s="7">
        <v>1500</v>
      </c>
      <c r="H206" s="7">
        <v>0</v>
      </c>
      <c r="I206" s="2" t="s">
        <v>18</v>
      </c>
      <c r="J206" s="2" t="s">
        <v>19</v>
      </c>
      <c r="K206" s="2" t="s">
        <v>20</v>
      </c>
      <c r="L206" s="2" t="s">
        <v>49</v>
      </c>
      <c r="M206" s="5">
        <v>6000</v>
      </c>
    </row>
    <row r="207" spans="1:13">
      <c r="A207" s="2" t="s">
        <v>318</v>
      </c>
      <c r="B207" s="3">
        <v>45247</v>
      </c>
      <c r="C207" s="2" t="s">
        <v>78</v>
      </c>
      <c r="D207" s="2" t="s">
        <v>72</v>
      </c>
      <c r="E207" s="2" t="s">
        <v>53</v>
      </c>
      <c r="F207" s="7">
        <v>1</v>
      </c>
      <c r="G207" s="7">
        <v>500</v>
      </c>
      <c r="H207" s="7" t="s">
        <v>17</v>
      </c>
      <c r="I207" s="2" t="s">
        <v>60</v>
      </c>
      <c r="J207" s="2" t="s">
        <v>19</v>
      </c>
      <c r="K207" s="2" t="s">
        <v>33</v>
      </c>
      <c r="L207" s="2" t="s">
        <v>28</v>
      </c>
      <c r="M207" s="5" t="s">
        <v>17</v>
      </c>
    </row>
    <row r="208" spans="1:13">
      <c r="A208" s="2" t="s">
        <v>319</v>
      </c>
      <c r="B208" s="3">
        <v>45561</v>
      </c>
      <c r="C208" s="2" t="s">
        <v>320</v>
      </c>
      <c r="D208" s="2" t="s">
        <v>24</v>
      </c>
      <c r="E208" s="2" t="s">
        <v>25</v>
      </c>
      <c r="F208" s="7">
        <v>4</v>
      </c>
      <c r="G208" s="7">
        <v>400</v>
      </c>
      <c r="H208" s="7">
        <v>20</v>
      </c>
      <c r="I208" s="2" t="s">
        <v>18</v>
      </c>
      <c r="J208" s="2" t="s">
        <v>19</v>
      </c>
      <c r="K208" s="2" t="s">
        <v>38</v>
      </c>
      <c r="L208" s="2" t="s">
        <v>49</v>
      </c>
      <c r="M208" s="5">
        <v>1280</v>
      </c>
    </row>
    <row r="209" spans="1:13">
      <c r="A209" s="2" t="s">
        <v>321</v>
      </c>
      <c r="B209" s="3">
        <v>45051</v>
      </c>
      <c r="C209" s="2" t="s">
        <v>94</v>
      </c>
      <c r="D209" s="2" t="s">
        <v>31</v>
      </c>
      <c r="E209" s="2" t="s">
        <v>53</v>
      </c>
      <c r="F209" s="7">
        <v>1</v>
      </c>
      <c r="G209" s="7">
        <v>800</v>
      </c>
      <c r="H209" s="7">
        <v>15</v>
      </c>
      <c r="I209" s="2" t="s">
        <v>17</v>
      </c>
      <c r="J209" s="2" t="s">
        <v>19</v>
      </c>
      <c r="K209" s="2" t="s">
        <v>75</v>
      </c>
      <c r="L209" s="2" t="s">
        <v>49</v>
      </c>
      <c r="M209" s="5">
        <v>680</v>
      </c>
    </row>
    <row r="210" spans="1:13">
      <c r="A210" s="2" t="s">
        <v>322</v>
      </c>
      <c r="B210" s="3">
        <v>45549</v>
      </c>
      <c r="C210" s="2" t="s">
        <v>323</v>
      </c>
      <c r="D210" s="2" t="s">
        <v>52</v>
      </c>
      <c r="E210" s="2" t="s">
        <v>46</v>
      </c>
      <c r="F210" s="7">
        <v>1</v>
      </c>
      <c r="G210" s="7">
        <v>1900</v>
      </c>
      <c r="H210" s="7">
        <v>20</v>
      </c>
      <c r="I210" s="2" t="s">
        <v>26</v>
      </c>
      <c r="J210" s="2" t="s">
        <v>74</v>
      </c>
      <c r="K210" s="2" t="s">
        <v>20</v>
      </c>
      <c r="L210" s="2" t="s">
        <v>28</v>
      </c>
      <c r="M210" s="5">
        <v>1520</v>
      </c>
    </row>
    <row r="211" spans="1:13">
      <c r="A211" s="2" t="s">
        <v>324</v>
      </c>
      <c r="B211" s="3">
        <v>45272</v>
      </c>
      <c r="C211" s="2" t="s">
        <v>124</v>
      </c>
      <c r="D211" s="2" t="s">
        <v>79</v>
      </c>
      <c r="E211" s="2" t="s">
        <v>97</v>
      </c>
      <c r="F211" s="7">
        <v>0</v>
      </c>
      <c r="G211" s="7">
        <v>950</v>
      </c>
      <c r="H211" s="7" t="s">
        <v>17</v>
      </c>
      <c r="I211" s="2" t="s">
        <v>60</v>
      </c>
      <c r="J211" s="2" t="s">
        <v>19</v>
      </c>
      <c r="K211" s="2" t="s">
        <v>27</v>
      </c>
      <c r="L211" s="2" t="s">
        <v>21</v>
      </c>
      <c r="M211" s="5" t="s">
        <v>17</v>
      </c>
    </row>
    <row r="212" spans="1:13">
      <c r="A212" s="2" t="s">
        <v>325</v>
      </c>
      <c r="B212" s="3">
        <v>45327</v>
      </c>
      <c r="C212" s="2" t="s">
        <v>81</v>
      </c>
      <c r="D212" s="2" t="s">
        <v>41</v>
      </c>
      <c r="E212" s="2" t="s">
        <v>16</v>
      </c>
      <c r="F212" s="7">
        <v>2</v>
      </c>
      <c r="G212" s="7">
        <v>1500</v>
      </c>
      <c r="H212" s="7">
        <v>20</v>
      </c>
      <c r="I212" s="2" t="s">
        <v>60</v>
      </c>
      <c r="J212" s="2" t="s">
        <v>47</v>
      </c>
      <c r="K212" s="2" t="s">
        <v>27</v>
      </c>
      <c r="L212" s="2" t="s">
        <v>21</v>
      </c>
      <c r="M212" s="5">
        <v>2400</v>
      </c>
    </row>
    <row r="213" spans="1:13">
      <c r="A213" s="2" t="s">
        <v>326</v>
      </c>
      <c r="B213" s="3">
        <v>45363</v>
      </c>
      <c r="C213" s="2" t="s">
        <v>122</v>
      </c>
      <c r="D213" s="2" t="s">
        <v>15</v>
      </c>
      <c r="E213" s="2" t="s">
        <v>73</v>
      </c>
      <c r="F213" s="7">
        <v>4</v>
      </c>
      <c r="G213" s="7">
        <v>1750</v>
      </c>
      <c r="H213" s="7">
        <v>15</v>
      </c>
      <c r="I213" s="2" t="s">
        <v>17</v>
      </c>
      <c r="J213" s="2" t="s">
        <v>47</v>
      </c>
      <c r="K213" s="2" t="s">
        <v>27</v>
      </c>
      <c r="L213" s="2" t="s">
        <v>49</v>
      </c>
      <c r="M213" s="5">
        <v>5950</v>
      </c>
    </row>
    <row r="214" spans="1:13">
      <c r="A214" s="2" t="s">
        <v>327</v>
      </c>
      <c r="B214" s="3">
        <v>45037</v>
      </c>
      <c r="C214" s="2" t="s">
        <v>233</v>
      </c>
      <c r="D214" s="2" t="s">
        <v>79</v>
      </c>
      <c r="E214" s="2" t="s">
        <v>97</v>
      </c>
      <c r="F214" s="7">
        <v>1</v>
      </c>
      <c r="G214" s="7">
        <v>950</v>
      </c>
      <c r="H214" s="7" t="s">
        <v>17</v>
      </c>
      <c r="I214" s="2" t="s">
        <v>18</v>
      </c>
      <c r="J214" s="2" t="s">
        <v>88</v>
      </c>
      <c r="K214" s="2" t="s">
        <v>33</v>
      </c>
      <c r="L214" s="2" t="s">
        <v>49</v>
      </c>
      <c r="M214" s="5" t="s">
        <v>17</v>
      </c>
    </row>
    <row r="215" spans="1:13">
      <c r="A215" s="2" t="s">
        <v>328</v>
      </c>
      <c r="B215" s="3">
        <v>45093</v>
      </c>
      <c r="C215" s="2" t="s">
        <v>81</v>
      </c>
      <c r="D215" s="2" t="s">
        <v>52</v>
      </c>
      <c r="E215" s="2" t="s">
        <v>87</v>
      </c>
      <c r="F215" s="7">
        <v>0</v>
      </c>
      <c r="G215" s="7">
        <v>1900</v>
      </c>
      <c r="H215" s="7">
        <v>20</v>
      </c>
      <c r="I215" s="2" t="s">
        <v>54</v>
      </c>
      <c r="J215" s="2" t="s">
        <v>47</v>
      </c>
      <c r="K215" s="2" t="s">
        <v>43</v>
      </c>
      <c r="L215" s="2" t="s">
        <v>28</v>
      </c>
      <c r="M215" s="5">
        <v>0</v>
      </c>
    </row>
    <row r="216" spans="1:13">
      <c r="A216" s="2" t="s">
        <v>329</v>
      </c>
      <c r="B216" s="3">
        <v>45169</v>
      </c>
      <c r="C216" s="2" t="s">
        <v>81</v>
      </c>
      <c r="D216" s="2" t="s">
        <v>41</v>
      </c>
      <c r="E216" s="2" t="s">
        <v>53</v>
      </c>
      <c r="F216" s="7">
        <v>4</v>
      </c>
      <c r="G216" s="7">
        <v>1500</v>
      </c>
      <c r="H216" s="7">
        <v>0</v>
      </c>
      <c r="I216" s="2" t="s">
        <v>98</v>
      </c>
      <c r="J216" s="2" t="s">
        <v>47</v>
      </c>
      <c r="K216" s="2" t="s">
        <v>33</v>
      </c>
      <c r="L216" s="2" t="s">
        <v>28</v>
      </c>
      <c r="M216" s="5">
        <v>6000</v>
      </c>
    </row>
    <row r="217" spans="1:13">
      <c r="A217" s="2" t="s">
        <v>330</v>
      </c>
      <c r="B217" s="3">
        <v>45004</v>
      </c>
      <c r="C217" s="2" t="s">
        <v>67</v>
      </c>
      <c r="D217" s="2" t="s">
        <v>15</v>
      </c>
      <c r="E217" s="2" t="s">
        <v>25</v>
      </c>
      <c r="F217" s="7">
        <v>0</v>
      </c>
      <c r="G217" s="7">
        <v>1750</v>
      </c>
      <c r="H217" s="7" t="s">
        <v>17</v>
      </c>
      <c r="I217" s="2" t="s">
        <v>60</v>
      </c>
      <c r="J217" s="2" t="s">
        <v>19</v>
      </c>
      <c r="K217" s="2" t="s">
        <v>27</v>
      </c>
      <c r="L217" s="2" t="s">
        <v>49</v>
      </c>
      <c r="M217" s="5" t="s">
        <v>17</v>
      </c>
    </row>
    <row r="218" spans="1:13">
      <c r="A218" s="2" t="s">
        <v>331</v>
      </c>
      <c r="B218" s="3">
        <v>45527</v>
      </c>
      <c r="C218" s="2" t="s">
        <v>114</v>
      </c>
      <c r="D218" s="2" t="s">
        <v>68</v>
      </c>
      <c r="E218" s="2" t="s">
        <v>53</v>
      </c>
      <c r="F218" s="7">
        <v>1</v>
      </c>
      <c r="G218" s="7">
        <v>1200</v>
      </c>
      <c r="H218" s="7" t="s">
        <v>17</v>
      </c>
      <c r="I218" s="2" t="s">
        <v>26</v>
      </c>
      <c r="J218" s="2" t="s">
        <v>47</v>
      </c>
      <c r="K218" s="2" t="s">
        <v>75</v>
      </c>
      <c r="L218" s="2" t="s">
        <v>28</v>
      </c>
      <c r="M218" s="5" t="s">
        <v>17</v>
      </c>
    </row>
    <row r="219" spans="1:13">
      <c r="A219" s="2" t="s">
        <v>332</v>
      </c>
      <c r="B219" s="3">
        <v>45294</v>
      </c>
      <c r="C219" s="2" t="s">
        <v>23</v>
      </c>
      <c r="D219" s="2" t="s">
        <v>63</v>
      </c>
      <c r="E219" s="2" t="s">
        <v>69</v>
      </c>
      <c r="F219" s="7">
        <v>3</v>
      </c>
      <c r="G219" s="7">
        <v>2200</v>
      </c>
      <c r="H219" s="7" t="s">
        <v>17</v>
      </c>
      <c r="I219" s="2" t="s">
        <v>54</v>
      </c>
      <c r="J219" s="2" t="s">
        <v>32</v>
      </c>
      <c r="K219" s="2" t="s">
        <v>43</v>
      </c>
      <c r="L219" s="2" t="s">
        <v>21</v>
      </c>
      <c r="M219" s="5" t="s">
        <v>17</v>
      </c>
    </row>
    <row r="220" spans="1:13">
      <c r="A220" s="2" t="s">
        <v>333</v>
      </c>
      <c r="B220" s="3">
        <v>45224</v>
      </c>
      <c r="C220" s="2" t="s">
        <v>67</v>
      </c>
      <c r="D220" s="2" t="s">
        <v>41</v>
      </c>
      <c r="E220" s="2" t="s">
        <v>37</v>
      </c>
      <c r="F220" s="7">
        <v>4</v>
      </c>
      <c r="G220" s="7">
        <v>1500</v>
      </c>
      <c r="H220" s="7" t="s">
        <v>17</v>
      </c>
      <c r="I220" s="2" t="s">
        <v>98</v>
      </c>
      <c r="J220" s="2" t="s">
        <v>19</v>
      </c>
      <c r="K220" s="2" t="s">
        <v>48</v>
      </c>
      <c r="L220" s="2" t="s">
        <v>21</v>
      </c>
      <c r="M220" s="5" t="s">
        <v>17</v>
      </c>
    </row>
    <row r="221" spans="1:13">
      <c r="A221" s="2" t="s">
        <v>334</v>
      </c>
      <c r="B221" s="3">
        <v>45134</v>
      </c>
      <c r="C221" s="2" t="s">
        <v>124</v>
      </c>
      <c r="D221" s="2" t="s">
        <v>24</v>
      </c>
      <c r="E221" s="2" t="s">
        <v>42</v>
      </c>
      <c r="F221" s="7">
        <v>0</v>
      </c>
      <c r="G221" s="7">
        <v>400</v>
      </c>
      <c r="H221" s="7">
        <v>5</v>
      </c>
      <c r="I221" s="2" t="s">
        <v>17</v>
      </c>
      <c r="J221" s="2" t="s">
        <v>19</v>
      </c>
      <c r="K221" s="2" t="s">
        <v>33</v>
      </c>
      <c r="L221" s="2" t="s">
        <v>49</v>
      </c>
      <c r="M221" s="5">
        <v>0</v>
      </c>
    </row>
    <row r="222" spans="1:13">
      <c r="A222" s="2" t="s">
        <v>335</v>
      </c>
      <c r="B222" s="3">
        <v>45441</v>
      </c>
      <c r="C222" s="2" t="s">
        <v>170</v>
      </c>
      <c r="D222" s="2" t="s">
        <v>15</v>
      </c>
      <c r="E222" s="2" t="s">
        <v>73</v>
      </c>
      <c r="F222" s="7">
        <v>1</v>
      </c>
      <c r="G222" s="7">
        <v>1750</v>
      </c>
      <c r="H222" s="7">
        <v>20</v>
      </c>
      <c r="I222" s="2" t="s">
        <v>60</v>
      </c>
      <c r="J222" s="2" t="s">
        <v>32</v>
      </c>
      <c r="K222" s="2" t="s">
        <v>20</v>
      </c>
      <c r="L222" s="2" t="s">
        <v>21</v>
      </c>
      <c r="M222" s="5">
        <v>1400</v>
      </c>
    </row>
    <row r="223" spans="1:13">
      <c r="A223" s="2" t="s">
        <v>336</v>
      </c>
      <c r="B223" s="3">
        <v>44933</v>
      </c>
      <c r="C223" s="2" t="s">
        <v>151</v>
      </c>
      <c r="D223" s="2" t="s">
        <v>79</v>
      </c>
      <c r="E223" s="2" t="s">
        <v>25</v>
      </c>
      <c r="F223" s="7">
        <v>5</v>
      </c>
      <c r="G223" s="7">
        <v>950</v>
      </c>
      <c r="H223" s="7">
        <v>15</v>
      </c>
      <c r="I223" s="2" t="s">
        <v>18</v>
      </c>
      <c r="J223" s="2" t="s">
        <v>47</v>
      </c>
      <c r="K223" s="2" t="s">
        <v>38</v>
      </c>
      <c r="L223" s="2" t="s">
        <v>49</v>
      </c>
      <c r="M223" s="5">
        <v>4037.5</v>
      </c>
    </row>
    <row r="224" spans="1:13">
      <c r="A224" s="2" t="s">
        <v>337</v>
      </c>
      <c r="B224" s="3">
        <v>45465</v>
      </c>
      <c r="C224" s="2" t="s">
        <v>195</v>
      </c>
      <c r="D224" s="2" t="s">
        <v>52</v>
      </c>
      <c r="E224" s="2" t="s">
        <v>42</v>
      </c>
      <c r="F224" s="7">
        <v>-1</v>
      </c>
      <c r="G224" s="7">
        <v>1900</v>
      </c>
      <c r="H224" s="7" t="s">
        <v>17</v>
      </c>
      <c r="I224" s="2" t="s">
        <v>26</v>
      </c>
      <c r="J224" s="2" t="s">
        <v>32</v>
      </c>
      <c r="K224" s="2" t="s">
        <v>48</v>
      </c>
      <c r="L224" s="2" t="s">
        <v>21</v>
      </c>
      <c r="M224" s="5" t="s">
        <v>17</v>
      </c>
    </row>
    <row r="225" spans="1:13">
      <c r="A225" s="2" t="s">
        <v>338</v>
      </c>
      <c r="B225" s="3">
        <v>45238</v>
      </c>
      <c r="C225" s="2" t="s">
        <v>71</v>
      </c>
      <c r="D225" s="2" t="s">
        <v>41</v>
      </c>
      <c r="E225" s="2" t="s">
        <v>73</v>
      </c>
      <c r="F225" s="7">
        <v>2</v>
      </c>
      <c r="G225" s="7">
        <v>1500</v>
      </c>
      <c r="H225" s="7" t="s">
        <v>17</v>
      </c>
      <c r="I225" s="2" t="s">
        <v>17</v>
      </c>
      <c r="J225" s="2" t="s">
        <v>19</v>
      </c>
      <c r="K225" s="2" t="s">
        <v>20</v>
      </c>
      <c r="L225" s="2" t="s">
        <v>49</v>
      </c>
      <c r="M225" s="5" t="s">
        <v>17</v>
      </c>
    </row>
    <row r="226" spans="1:13">
      <c r="A226" s="2" t="s">
        <v>339</v>
      </c>
      <c r="B226" s="3">
        <v>45409</v>
      </c>
      <c r="C226" s="2" t="s">
        <v>109</v>
      </c>
      <c r="D226" s="2" t="s">
        <v>72</v>
      </c>
      <c r="E226" s="2" t="s">
        <v>53</v>
      </c>
      <c r="F226" s="7">
        <v>1</v>
      </c>
      <c r="G226" s="7">
        <v>500</v>
      </c>
      <c r="H226" s="7">
        <v>5</v>
      </c>
      <c r="I226" s="2" t="s">
        <v>26</v>
      </c>
      <c r="J226" s="2" t="s">
        <v>47</v>
      </c>
      <c r="K226" s="2" t="s">
        <v>20</v>
      </c>
      <c r="L226" s="2" t="s">
        <v>21</v>
      </c>
      <c r="M226" s="5">
        <v>475</v>
      </c>
    </row>
    <row r="227" spans="1:13">
      <c r="A227" s="2" t="s">
        <v>340</v>
      </c>
      <c r="B227" s="3">
        <v>45131</v>
      </c>
      <c r="C227" s="2" t="s">
        <v>153</v>
      </c>
      <c r="D227" s="2" t="s">
        <v>52</v>
      </c>
      <c r="E227" s="2" t="s">
        <v>112</v>
      </c>
      <c r="F227" s="7">
        <v>1</v>
      </c>
      <c r="G227" s="7">
        <v>1900</v>
      </c>
      <c r="H227" s="7">
        <v>15</v>
      </c>
      <c r="I227" s="2" t="s">
        <v>17</v>
      </c>
      <c r="J227" s="2" t="s">
        <v>47</v>
      </c>
      <c r="K227" s="2" t="s">
        <v>48</v>
      </c>
      <c r="L227" s="2" t="s">
        <v>49</v>
      </c>
      <c r="M227" s="5">
        <v>1615</v>
      </c>
    </row>
    <row r="228" spans="1:13">
      <c r="A228" s="2" t="s">
        <v>341</v>
      </c>
      <c r="B228" s="3">
        <v>45486</v>
      </c>
      <c r="C228" s="2" t="s">
        <v>51</v>
      </c>
      <c r="D228" s="2" t="s">
        <v>15</v>
      </c>
      <c r="E228" s="2" t="s">
        <v>87</v>
      </c>
      <c r="F228" s="7">
        <v>1</v>
      </c>
      <c r="G228" s="7">
        <v>1750</v>
      </c>
      <c r="H228" s="7" t="s">
        <v>17</v>
      </c>
      <c r="I228" s="2" t="s">
        <v>54</v>
      </c>
      <c r="J228" s="2" t="s">
        <v>19</v>
      </c>
      <c r="K228" s="2" t="s">
        <v>33</v>
      </c>
      <c r="L228" s="2" t="s">
        <v>49</v>
      </c>
      <c r="M228" s="5" t="s">
        <v>17</v>
      </c>
    </row>
    <row r="229" spans="1:13">
      <c r="A229" s="2" t="s">
        <v>342</v>
      </c>
      <c r="B229" s="3">
        <v>45558</v>
      </c>
      <c r="C229" s="2" t="s">
        <v>114</v>
      </c>
      <c r="D229" s="2" t="s">
        <v>52</v>
      </c>
      <c r="E229" s="2" t="s">
        <v>73</v>
      </c>
      <c r="F229" s="7">
        <v>10</v>
      </c>
      <c r="G229" s="7">
        <v>1900</v>
      </c>
      <c r="H229" s="7">
        <v>0</v>
      </c>
      <c r="I229" s="2" t="s">
        <v>26</v>
      </c>
      <c r="J229" s="2" t="s">
        <v>74</v>
      </c>
      <c r="K229" s="2" t="s">
        <v>75</v>
      </c>
      <c r="L229" s="2" t="s">
        <v>21</v>
      </c>
      <c r="M229" s="5">
        <v>19000</v>
      </c>
    </row>
    <row r="230" spans="1:13">
      <c r="A230" s="2" t="s">
        <v>343</v>
      </c>
      <c r="B230" s="3">
        <v>44965</v>
      </c>
      <c r="C230" s="2" t="s">
        <v>151</v>
      </c>
      <c r="D230" s="2" t="s">
        <v>15</v>
      </c>
      <c r="E230" s="2" t="s">
        <v>37</v>
      </c>
      <c r="F230" s="7">
        <v>4</v>
      </c>
      <c r="G230" s="7">
        <v>1750</v>
      </c>
      <c r="H230" s="7">
        <v>0</v>
      </c>
      <c r="I230" s="2" t="s">
        <v>60</v>
      </c>
      <c r="J230" s="2" t="s">
        <v>74</v>
      </c>
      <c r="K230" s="2" t="s">
        <v>20</v>
      </c>
      <c r="L230" s="2" t="s">
        <v>21</v>
      </c>
      <c r="M230" s="5">
        <v>7000</v>
      </c>
    </row>
    <row r="231" spans="1:13">
      <c r="A231" s="2" t="s">
        <v>344</v>
      </c>
      <c r="B231" s="3">
        <v>44939</v>
      </c>
      <c r="C231" s="2" t="s">
        <v>323</v>
      </c>
      <c r="D231" s="2" t="s">
        <v>31</v>
      </c>
      <c r="E231" s="2" t="s">
        <v>69</v>
      </c>
      <c r="F231" s="7">
        <v>4</v>
      </c>
      <c r="G231" s="7">
        <v>800</v>
      </c>
      <c r="H231" s="7">
        <v>10</v>
      </c>
      <c r="I231" s="2" t="s">
        <v>18</v>
      </c>
      <c r="J231" s="2" t="s">
        <v>32</v>
      </c>
      <c r="K231" s="2" t="s">
        <v>75</v>
      </c>
      <c r="L231" s="2" t="s">
        <v>49</v>
      </c>
      <c r="M231" s="5">
        <v>2880</v>
      </c>
    </row>
    <row r="232" spans="1:13">
      <c r="A232" s="2" t="s">
        <v>345</v>
      </c>
      <c r="B232" s="3">
        <v>45032</v>
      </c>
      <c r="C232" s="2" t="s">
        <v>56</v>
      </c>
      <c r="D232" s="2" t="s">
        <v>72</v>
      </c>
      <c r="E232" s="2" t="s">
        <v>37</v>
      </c>
      <c r="F232" s="7">
        <v>5</v>
      </c>
      <c r="G232" s="7">
        <v>500</v>
      </c>
      <c r="H232" s="7">
        <v>0</v>
      </c>
      <c r="I232" s="2" t="s">
        <v>54</v>
      </c>
      <c r="J232" s="2" t="s">
        <v>74</v>
      </c>
      <c r="K232" s="2" t="s">
        <v>27</v>
      </c>
      <c r="L232" s="2" t="s">
        <v>21</v>
      </c>
      <c r="M232" s="5">
        <v>2500</v>
      </c>
    </row>
    <row r="233" spans="1:13">
      <c r="A233" s="2" t="s">
        <v>346</v>
      </c>
      <c r="B233" s="3">
        <v>45228</v>
      </c>
      <c r="C233" s="2" t="s">
        <v>239</v>
      </c>
      <c r="D233" s="2" t="s">
        <v>57</v>
      </c>
      <c r="E233" s="2" t="s">
        <v>85</v>
      </c>
      <c r="F233" s="7">
        <v>1</v>
      </c>
      <c r="G233" s="7">
        <v>2000</v>
      </c>
      <c r="H233" s="7" t="s">
        <v>17</v>
      </c>
      <c r="I233" s="2" t="s">
        <v>26</v>
      </c>
      <c r="J233" s="2" t="s">
        <v>32</v>
      </c>
      <c r="K233" s="2" t="s">
        <v>48</v>
      </c>
      <c r="L233" s="2" t="s">
        <v>49</v>
      </c>
      <c r="M233" s="5" t="s">
        <v>17</v>
      </c>
    </row>
    <row r="234" spans="1:13">
      <c r="A234" s="2" t="s">
        <v>347</v>
      </c>
      <c r="B234" s="3">
        <v>45493</v>
      </c>
      <c r="C234" s="2" t="s">
        <v>320</v>
      </c>
      <c r="D234" s="2" t="s">
        <v>68</v>
      </c>
      <c r="E234" s="2" t="s">
        <v>97</v>
      </c>
      <c r="F234" s="7">
        <v>3</v>
      </c>
      <c r="G234" s="7">
        <v>1200</v>
      </c>
      <c r="H234" s="7">
        <v>10</v>
      </c>
      <c r="I234" s="2" t="s">
        <v>26</v>
      </c>
      <c r="J234" s="2" t="s">
        <v>47</v>
      </c>
      <c r="K234" s="2" t="s">
        <v>20</v>
      </c>
      <c r="L234" s="2" t="s">
        <v>49</v>
      </c>
      <c r="M234" s="5">
        <v>3240</v>
      </c>
    </row>
    <row r="235" spans="1:13">
      <c r="A235" s="2" t="s">
        <v>348</v>
      </c>
      <c r="B235" s="3">
        <v>45096</v>
      </c>
      <c r="C235" s="2" t="s">
        <v>239</v>
      </c>
      <c r="D235" s="2" t="s">
        <v>72</v>
      </c>
      <c r="E235" s="2" t="s">
        <v>73</v>
      </c>
      <c r="F235" s="7">
        <v>5</v>
      </c>
      <c r="G235" s="7">
        <v>500</v>
      </c>
      <c r="H235" s="7">
        <v>20</v>
      </c>
      <c r="I235" s="2" t="s">
        <v>98</v>
      </c>
      <c r="J235" s="2" t="s">
        <v>19</v>
      </c>
      <c r="K235" s="2" t="s">
        <v>75</v>
      </c>
      <c r="L235" s="2" t="s">
        <v>28</v>
      </c>
      <c r="M235" s="5">
        <v>2000</v>
      </c>
    </row>
    <row r="236" spans="1:13">
      <c r="A236" s="2" t="s">
        <v>349</v>
      </c>
      <c r="B236" s="3">
        <v>44990</v>
      </c>
      <c r="C236" s="2" t="s">
        <v>90</v>
      </c>
      <c r="D236" s="2" t="s">
        <v>57</v>
      </c>
      <c r="E236" s="2" t="s">
        <v>85</v>
      </c>
      <c r="F236" s="7">
        <v>1</v>
      </c>
      <c r="G236" s="7">
        <v>2000</v>
      </c>
      <c r="H236" s="7">
        <v>5</v>
      </c>
      <c r="I236" s="2" t="s">
        <v>98</v>
      </c>
      <c r="J236" s="2" t="s">
        <v>47</v>
      </c>
      <c r="K236" s="2" t="s">
        <v>75</v>
      </c>
      <c r="L236" s="2" t="s">
        <v>28</v>
      </c>
      <c r="M236" s="5">
        <v>1900</v>
      </c>
    </row>
    <row r="237" spans="1:13">
      <c r="A237" s="2" t="s">
        <v>350</v>
      </c>
      <c r="B237" s="3">
        <v>45381</v>
      </c>
      <c r="C237" s="2" t="s">
        <v>131</v>
      </c>
      <c r="D237" s="2" t="s">
        <v>31</v>
      </c>
      <c r="E237" s="2" t="s">
        <v>16</v>
      </c>
      <c r="F237" s="7">
        <v>1</v>
      </c>
      <c r="G237" s="7">
        <v>800</v>
      </c>
      <c r="H237" s="7">
        <v>20</v>
      </c>
      <c r="I237" s="2" t="s">
        <v>18</v>
      </c>
      <c r="J237" s="2" t="s">
        <v>82</v>
      </c>
      <c r="K237" s="2" t="s">
        <v>20</v>
      </c>
      <c r="L237" s="2" t="s">
        <v>28</v>
      </c>
      <c r="M237" s="5">
        <v>640</v>
      </c>
    </row>
    <row r="238" spans="1:13">
      <c r="A238" s="2" t="s">
        <v>351</v>
      </c>
      <c r="B238" s="3">
        <v>45033</v>
      </c>
      <c r="C238" s="2" t="s">
        <v>181</v>
      </c>
      <c r="D238" s="2" t="s">
        <v>72</v>
      </c>
      <c r="E238" s="2" t="s">
        <v>85</v>
      </c>
      <c r="F238" s="7">
        <v>2</v>
      </c>
      <c r="G238" s="7">
        <v>500</v>
      </c>
      <c r="H238" s="7" t="s">
        <v>17</v>
      </c>
      <c r="I238" s="2" t="s">
        <v>98</v>
      </c>
      <c r="J238" s="2" t="s">
        <v>19</v>
      </c>
      <c r="K238" s="2" t="s">
        <v>20</v>
      </c>
      <c r="L238" s="2" t="s">
        <v>49</v>
      </c>
      <c r="M238" s="5" t="s">
        <v>17</v>
      </c>
    </row>
    <row r="239" spans="1:13">
      <c r="A239" s="2" t="s">
        <v>352</v>
      </c>
      <c r="B239" s="3">
        <v>45081</v>
      </c>
      <c r="C239" s="2" t="s">
        <v>353</v>
      </c>
      <c r="D239" s="2" t="s">
        <v>91</v>
      </c>
      <c r="E239" s="2" t="s">
        <v>25</v>
      </c>
      <c r="F239" s="7">
        <v>5</v>
      </c>
      <c r="G239" s="7">
        <v>700</v>
      </c>
      <c r="H239" s="7">
        <v>0</v>
      </c>
      <c r="I239" s="2" t="s">
        <v>26</v>
      </c>
      <c r="J239" s="2" t="s">
        <v>74</v>
      </c>
      <c r="K239" s="2" t="s">
        <v>38</v>
      </c>
      <c r="L239" s="2" t="s">
        <v>28</v>
      </c>
      <c r="M239" s="5">
        <v>3500</v>
      </c>
    </row>
    <row r="240" spans="1:13">
      <c r="A240" s="2" t="s">
        <v>354</v>
      </c>
      <c r="B240" s="3">
        <v>45458</v>
      </c>
      <c r="C240" s="2" t="s">
        <v>181</v>
      </c>
      <c r="D240" s="2" t="s">
        <v>91</v>
      </c>
      <c r="E240" s="2" t="s">
        <v>46</v>
      </c>
      <c r="F240" s="7">
        <v>10</v>
      </c>
      <c r="G240" s="7">
        <v>700</v>
      </c>
      <c r="H240" s="7" t="s">
        <v>17</v>
      </c>
      <c r="I240" s="2" t="s">
        <v>18</v>
      </c>
      <c r="J240" s="2" t="s">
        <v>32</v>
      </c>
      <c r="K240" s="2" t="s">
        <v>33</v>
      </c>
      <c r="L240" s="2" t="s">
        <v>49</v>
      </c>
      <c r="M240" s="5" t="s">
        <v>17</v>
      </c>
    </row>
    <row r="241" spans="1:13">
      <c r="A241" s="2" t="s">
        <v>355</v>
      </c>
      <c r="B241" s="3">
        <v>44954</v>
      </c>
      <c r="C241" s="2" t="s">
        <v>30</v>
      </c>
      <c r="D241" s="2" t="s">
        <v>36</v>
      </c>
      <c r="E241" s="2" t="s">
        <v>73</v>
      </c>
      <c r="F241" s="7">
        <v>3</v>
      </c>
      <c r="G241" s="7">
        <v>1100</v>
      </c>
      <c r="H241" s="7">
        <v>15</v>
      </c>
      <c r="I241" s="2" t="s">
        <v>98</v>
      </c>
      <c r="J241" s="2" t="s">
        <v>19</v>
      </c>
      <c r="K241" s="2" t="s">
        <v>43</v>
      </c>
      <c r="L241" s="2" t="s">
        <v>21</v>
      </c>
      <c r="M241" s="5">
        <v>2805</v>
      </c>
    </row>
    <row r="242" spans="1:13">
      <c r="A242" s="2" t="s">
        <v>356</v>
      </c>
      <c r="B242" s="3">
        <v>44944</v>
      </c>
      <c r="C242" s="2" t="s">
        <v>111</v>
      </c>
      <c r="D242" s="2" t="s">
        <v>57</v>
      </c>
      <c r="E242" s="2" t="s">
        <v>112</v>
      </c>
      <c r="F242" s="7">
        <v>4</v>
      </c>
      <c r="G242" s="7">
        <v>2000</v>
      </c>
      <c r="H242" s="7">
        <v>5</v>
      </c>
      <c r="I242" s="2" t="s">
        <v>18</v>
      </c>
      <c r="J242" s="2" t="s">
        <v>32</v>
      </c>
      <c r="K242" s="2" t="s">
        <v>27</v>
      </c>
      <c r="L242" s="2" t="s">
        <v>28</v>
      </c>
      <c r="M242" s="5">
        <v>7600</v>
      </c>
    </row>
    <row r="243" spans="1:13">
      <c r="A243" s="2" t="s">
        <v>357</v>
      </c>
      <c r="B243" s="3">
        <v>45138</v>
      </c>
      <c r="C243" s="2" t="s">
        <v>40</v>
      </c>
      <c r="D243" s="2" t="s">
        <v>24</v>
      </c>
      <c r="E243" s="2" t="s">
        <v>73</v>
      </c>
      <c r="F243" s="7">
        <v>5</v>
      </c>
      <c r="G243" s="7">
        <v>400</v>
      </c>
      <c r="H243" s="7">
        <v>0</v>
      </c>
      <c r="I243" s="2" t="s">
        <v>98</v>
      </c>
      <c r="J243" s="2" t="s">
        <v>19</v>
      </c>
      <c r="K243" s="2" t="s">
        <v>43</v>
      </c>
      <c r="L243" s="2" t="s">
        <v>21</v>
      </c>
      <c r="M243" s="5">
        <v>2000</v>
      </c>
    </row>
    <row r="244" spans="1:13">
      <c r="A244" s="2" t="s">
        <v>358</v>
      </c>
      <c r="B244" s="3">
        <v>45425</v>
      </c>
      <c r="C244" s="2" t="s">
        <v>23</v>
      </c>
      <c r="D244" s="2" t="s">
        <v>15</v>
      </c>
      <c r="E244" s="2" t="s">
        <v>53</v>
      </c>
      <c r="F244" s="7">
        <v>-1</v>
      </c>
      <c r="G244" s="7">
        <v>1750</v>
      </c>
      <c r="H244" s="7">
        <v>10</v>
      </c>
      <c r="I244" s="2" t="s">
        <v>18</v>
      </c>
      <c r="J244" s="2" t="s">
        <v>47</v>
      </c>
      <c r="K244" s="2" t="s">
        <v>33</v>
      </c>
      <c r="L244" s="2" t="s">
        <v>21</v>
      </c>
      <c r="M244" s="5">
        <v>-1575</v>
      </c>
    </row>
    <row r="245" spans="1:13">
      <c r="A245" s="2" t="s">
        <v>359</v>
      </c>
      <c r="B245" s="3">
        <v>45254</v>
      </c>
      <c r="C245" s="2" t="s">
        <v>281</v>
      </c>
      <c r="D245" s="2" t="s">
        <v>36</v>
      </c>
      <c r="E245" s="2" t="s">
        <v>112</v>
      </c>
      <c r="F245" s="7">
        <v>4</v>
      </c>
      <c r="G245" s="7">
        <v>1100</v>
      </c>
      <c r="H245" s="7" t="s">
        <v>17</v>
      </c>
      <c r="I245" s="2" t="s">
        <v>18</v>
      </c>
      <c r="J245" s="2" t="s">
        <v>19</v>
      </c>
      <c r="K245" s="2" t="s">
        <v>20</v>
      </c>
      <c r="L245" s="2" t="s">
        <v>28</v>
      </c>
      <c r="M245" s="5" t="s">
        <v>17</v>
      </c>
    </row>
    <row r="246" spans="1:13">
      <c r="A246" s="2" t="s">
        <v>360</v>
      </c>
      <c r="B246" s="3">
        <v>45443</v>
      </c>
      <c r="C246" s="2" t="s">
        <v>94</v>
      </c>
      <c r="D246" s="2" t="s">
        <v>72</v>
      </c>
      <c r="E246" s="2" t="s">
        <v>85</v>
      </c>
      <c r="F246" s="7">
        <v>10</v>
      </c>
      <c r="G246" s="7">
        <v>500</v>
      </c>
      <c r="H246" s="7">
        <v>0</v>
      </c>
      <c r="I246" s="2" t="s">
        <v>54</v>
      </c>
      <c r="J246" s="2" t="s">
        <v>19</v>
      </c>
      <c r="K246" s="2" t="s">
        <v>75</v>
      </c>
      <c r="L246" s="2" t="s">
        <v>28</v>
      </c>
      <c r="M246" s="5">
        <v>5000</v>
      </c>
    </row>
    <row r="247" spans="1:13">
      <c r="A247" s="2" t="s">
        <v>361</v>
      </c>
      <c r="B247" s="3">
        <v>45480</v>
      </c>
      <c r="C247" s="2" t="s">
        <v>90</v>
      </c>
      <c r="D247" s="2" t="s">
        <v>15</v>
      </c>
      <c r="E247" s="2" t="s">
        <v>73</v>
      </c>
      <c r="F247" s="7">
        <v>5</v>
      </c>
      <c r="G247" s="7">
        <v>1750</v>
      </c>
      <c r="H247" s="7">
        <v>10</v>
      </c>
      <c r="I247" s="2" t="s">
        <v>98</v>
      </c>
      <c r="J247" s="2" t="s">
        <v>19</v>
      </c>
      <c r="K247" s="2" t="s">
        <v>38</v>
      </c>
      <c r="L247" s="2" t="s">
        <v>21</v>
      </c>
      <c r="M247" s="5">
        <v>7875</v>
      </c>
    </row>
    <row r="248" spans="1:13">
      <c r="A248" s="2" t="s">
        <v>362</v>
      </c>
      <c r="B248" s="3">
        <v>45036</v>
      </c>
      <c r="C248" s="2" t="s">
        <v>56</v>
      </c>
      <c r="D248" s="2" t="s">
        <v>36</v>
      </c>
      <c r="E248" s="2" t="s">
        <v>16</v>
      </c>
      <c r="F248" s="7">
        <v>0</v>
      </c>
      <c r="G248" s="7">
        <v>1100</v>
      </c>
      <c r="H248" s="7">
        <v>15</v>
      </c>
      <c r="I248" s="2" t="s">
        <v>26</v>
      </c>
      <c r="J248" s="2" t="s">
        <v>19</v>
      </c>
      <c r="K248" s="2" t="s">
        <v>75</v>
      </c>
      <c r="L248" s="2" t="s">
        <v>21</v>
      </c>
      <c r="M248" s="5">
        <v>0</v>
      </c>
    </row>
    <row r="249" spans="1:13">
      <c r="A249" s="2" t="s">
        <v>363</v>
      </c>
      <c r="B249" s="3">
        <v>45263</v>
      </c>
      <c r="C249" s="2" t="s">
        <v>281</v>
      </c>
      <c r="D249" s="2" t="s">
        <v>57</v>
      </c>
      <c r="E249" s="2" t="s">
        <v>46</v>
      </c>
      <c r="F249" s="7">
        <v>10</v>
      </c>
      <c r="G249" s="7">
        <v>2000</v>
      </c>
      <c r="H249" s="7">
        <v>10</v>
      </c>
      <c r="I249" s="2" t="s">
        <v>98</v>
      </c>
      <c r="J249" s="2" t="s">
        <v>47</v>
      </c>
      <c r="K249" s="2" t="s">
        <v>20</v>
      </c>
      <c r="L249" s="2" t="s">
        <v>49</v>
      </c>
      <c r="M249" s="5">
        <v>18000</v>
      </c>
    </row>
    <row r="250" spans="1:13">
      <c r="A250" s="2" t="s">
        <v>364</v>
      </c>
      <c r="B250" s="3">
        <v>45324</v>
      </c>
      <c r="C250" s="2" t="s">
        <v>140</v>
      </c>
      <c r="D250" s="2" t="s">
        <v>91</v>
      </c>
      <c r="E250" s="2" t="s">
        <v>53</v>
      </c>
      <c r="F250" s="7">
        <v>3</v>
      </c>
      <c r="G250" s="7">
        <v>700</v>
      </c>
      <c r="H250" s="7">
        <v>15</v>
      </c>
      <c r="I250" s="2" t="s">
        <v>60</v>
      </c>
      <c r="J250" s="2" t="s">
        <v>19</v>
      </c>
      <c r="K250" s="2" t="s">
        <v>43</v>
      </c>
      <c r="L250" s="2" t="s">
        <v>49</v>
      </c>
      <c r="M250" s="5">
        <v>1785</v>
      </c>
    </row>
    <row r="251" spans="1:13">
      <c r="A251" s="2" t="s">
        <v>365</v>
      </c>
      <c r="B251" s="3">
        <v>45293</v>
      </c>
      <c r="C251" s="2" t="s">
        <v>94</v>
      </c>
      <c r="D251" s="2" t="s">
        <v>72</v>
      </c>
      <c r="E251" s="2" t="s">
        <v>73</v>
      </c>
      <c r="F251" s="7">
        <v>-1</v>
      </c>
      <c r="G251" s="7">
        <v>500</v>
      </c>
      <c r="H251" s="7" t="s">
        <v>17</v>
      </c>
      <c r="I251" s="2" t="s">
        <v>26</v>
      </c>
      <c r="J251" s="2" t="s">
        <v>88</v>
      </c>
      <c r="K251" s="2" t="s">
        <v>20</v>
      </c>
      <c r="L251" s="2" t="s">
        <v>49</v>
      </c>
      <c r="M251" s="5" t="s">
        <v>17</v>
      </c>
    </row>
  </sheetData>
  <autoFilter ref="A1:M251" xr:uid="{00000000-0001-0000-0000-000000000000}"/>
  <conditionalFormatting sqref="F1:F251">
    <cfRule type="cellIs" dxfId="0" priority="1" operator="lessThanOr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7" customWidth="1"/>
    <col min="3" max="3" width="23" customWidth="1"/>
    <col min="4" max="4" width="16" customWidth="1"/>
    <col min="5" max="5" width="30.5703125" bestFit="1" customWidth="1"/>
    <col min="6" max="6" width="12" customWidth="1"/>
    <col min="7" max="7" width="17" customWidth="1"/>
    <col min="8" max="8" width="36" customWidth="1"/>
  </cols>
  <sheetData>
    <row r="1" spans="1:8">
      <c r="A1" s="1" t="s">
        <v>2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</row>
    <row r="2" spans="1:8">
      <c r="A2" s="2" t="s">
        <v>264</v>
      </c>
      <c r="B2" s="2" t="s">
        <v>373</v>
      </c>
      <c r="C2" s="2" t="s">
        <v>374</v>
      </c>
      <c r="D2" s="2" t="s">
        <v>375</v>
      </c>
      <c r="E2" s="2" t="s">
        <v>376</v>
      </c>
      <c r="F2" s="3" t="s">
        <v>377</v>
      </c>
      <c r="G2" s="2" t="s">
        <v>378</v>
      </c>
      <c r="H2" s="2" t="s">
        <v>379</v>
      </c>
    </row>
    <row r="3" spans="1:8">
      <c r="A3" s="2" t="s">
        <v>122</v>
      </c>
      <c r="B3" s="2" t="s">
        <v>380</v>
      </c>
      <c r="C3" s="2" t="s">
        <v>381</v>
      </c>
      <c r="D3" s="2" t="s">
        <v>382</v>
      </c>
      <c r="E3" s="2" t="s">
        <v>383</v>
      </c>
      <c r="F3" s="3" t="s">
        <v>384</v>
      </c>
      <c r="G3" s="2" t="s">
        <v>385</v>
      </c>
      <c r="H3" s="2" t="s">
        <v>386</v>
      </c>
    </row>
    <row r="4" spans="1:8">
      <c r="A4" s="2" t="s">
        <v>84</v>
      </c>
      <c r="B4" s="2" t="s">
        <v>387</v>
      </c>
      <c r="C4" s="2" t="s">
        <v>388</v>
      </c>
      <c r="D4" s="2" t="s">
        <v>389</v>
      </c>
      <c r="E4" s="2" t="s">
        <v>390</v>
      </c>
      <c r="F4" s="3" t="s">
        <v>391</v>
      </c>
      <c r="G4" s="2" t="s">
        <v>392</v>
      </c>
      <c r="H4" s="2" t="s">
        <v>393</v>
      </c>
    </row>
    <row r="5" spans="1:8">
      <c r="A5" s="2" t="s">
        <v>114</v>
      </c>
      <c r="B5" s="2" t="s">
        <v>394</v>
      </c>
      <c r="C5" s="2" t="s">
        <v>374</v>
      </c>
      <c r="D5" s="2" t="s">
        <v>395</v>
      </c>
      <c r="E5" s="2" t="s">
        <v>383</v>
      </c>
      <c r="F5" s="3" t="s">
        <v>396</v>
      </c>
      <c r="G5" s="2" t="s">
        <v>397</v>
      </c>
      <c r="H5" s="2" t="s">
        <v>398</v>
      </c>
    </row>
    <row r="6" spans="1:8">
      <c r="A6" s="2" t="s">
        <v>233</v>
      </c>
      <c r="B6" s="2" t="s">
        <v>399</v>
      </c>
      <c r="C6" s="2" t="s">
        <v>400</v>
      </c>
      <c r="D6" s="2" t="s">
        <v>401</v>
      </c>
      <c r="E6" s="2" t="s">
        <v>376</v>
      </c>
      <c r="F6" s="3" t="s">
        <v>402</v>
      </c>
      <c r="G6" s="2" t="s">
        <v>403</v>
      </c>
      <c r="H6" s="2" t="s">
        <v>404</v>
      </c>
    </row>
    <row r="7" spans="1:8">
      <c r="A7" s="2" t="s">
        <v>71</v>
      </c>
      <c r="B7" s="2" t="s">
        <v>405</v>
      </c>
      <c r="C7" s="2" t="s">
        <v>406</v>
      </c>
      <c r="D7" s="2" t="s">
        <v>54</v>
      </c>
      <c r="E7" s="2" t="s">
        <v>383</v>
      </c>
      <c r="F7" s="3" t="s">
        <v>407</v>
      </c>
      <c r="G7" s="2" t="s">
        <v>403</v>
      </c>
      <c r="H7" s="2" t="s">
        <v>408</v>
      </c>
    </row>
    <row r="8" spans="1:8">
      <c r="A8" s="2" t="s">
        <v>67</v>
      </c>
      <c r="B8" s="2" t="s">
        <v>409</v>
      </c>
      <c r="C8" s="2" t="s">
        <v>374</v>
      </c>
      <c r="D8" s="2" t="s">
        <v>410</v>
      </c>
      <c r="E8" s="2" t="s">
        <v>411</v>
      </c>
      <c r="F8" s="3" t="s">
        <v>412</v>
      </c>
      <c r="G8" s="2" t="s">
        <v>413</v>
      </c>
      <c r="H8" s="2" t="s">
        <v>414</v>
      </c>
    </row>
    <row r="9" spans="1:8">
      <c r="A9" s="2" t="s">
        <v>127</v>
      </c>
      <c r="B9" s="2" t="s">
        <v>415</v>
      </c>
      <c r="C9" s="2" t="s">
        <v>388</v>
      </c>
      <c r="D9" s="2" t="s">
        <v>389</v>
      </c>
      <c r="E9" s="2" t="s">
        <v>411</v>
      </c>
      <c r="F9" s="3" t="s">
        <v>416</v>
      </c>
      <c r="G9" s="2" t="s">
        <v>417</v>
      </c>
      <c r="H9" s="2" t="s">
        <v>418</v>
      </c>
    </row>
    <row r="10" spans="1:8">
      <c r="A10" s="2" t="s">
        <v>62</v>
      </c>
      <c r="B10" s="2" t="s">
        <v>419</v>
      </c>
      <c r="C10" s="2" t="s">
        <v>374</v>
      </c>
      <c r="D10" s="2" t="s">
        <v>395</v>
      </c>
      <c r="E10" s="2" t="s">
        <v>390</v>
      </c>
      <c r="F10" s="3" t="s">
        <v>420</v>
      </c>
      <c r="G10" s="2" t="s">
        <v>397</v>
      </c>
      <c r="H10" s="2" t="s">
        <v>421</v>
      </c>
    </row>
    <row r="11" spans="1:8">
      <c r="A11" s="2" t="s">
        <v>320</v>
      </c>
      <c r="B11" s="2" t="s">
        <v>422</v>
      </c>
      <c r="C11" s="2" t="s">
        <v>423</v>
      </c>
      <c r="D11" s="2" t="s">
        <v>424</v>
      </c>
      <c r="E11" s="2" t="s">
        <v>376</v>
      </c>
      <c r="F11" s="3" t="s">
        <v>425</v>
      </c>
      <c r="G11" s="2" t="s">
        <v>426</v>
      </c>
      <c r="H11" s="2" t="s">
        <v>427</v>
      </c>
    </row>
    <row r="12" spans="1:8">
      <c r="A12" s="2" t="s">
        <v>170</v>
      </c>
      <c r="B12" s="2" t="s">
        <v>428</v>
      </c>
      <c r="C12" s="2" t="s">
        <v>400</v>
      </c>
      <c r="D12" s="2" t="s">
        <v>54</v>
      </c>
      <c r="E12" s="2" t="s">
        <v>429</v>
      </c>
      <c r="F12" s="3" t="s">
        <v>430</v>
      </c>
      <c r="G12" s="2" t="s">
        <v>392</v>
      </c>
      <c r="H12" s="2" t="s">
        <v>431</v>
      </c>
    </row>
    <row r="13" spans="1:8">
      <c r="A13" s="2" t="s">
        <v>35</v>
      </c>
      <c r="B13" s="2" t="s">
        <v>432</v>
      </c>
      <c r="C13" s="2" t="s">
        <v>433</v>
      </c>
      <c r="D13" s="2" t="s">
        <v>382</v>
      </c>
      <c r="E13" s="2" t="s">
        <v>411</v>
      </c>
      <c r="F13" s="3" t="s">
        <v>434</v>
      </c>
      <c r="G13" s="2" t="s">
        <v>435</v>
      </c>
      <c r="H13" s="2" t="s">
        <v>436</v>
      </c>
    </row>
    <row r="14" spans="1:8">
      <c r="A14" s="2" t="s">
        <v>59</v>
      </c>
      <c r="B14" s="2" t="s">
        <v>437</v>
      </c>
      <c r="C14" s="2" t="s">
        <v>388</v>
      </c>
      <c r="D14" s="2" t="s">
        <v>375</v>
      </c>
      <c r="E14" s="2" t="s">
        <v>411</v>
      </c>
      <c r="F14" s="3" t="s">
        <v>438</v>
      </c>
      <c r="G14" s="2" t="s">
        <v>439</v>
      </c>
      <c r="H14" s="2" t="s">
        <v>440</v>
      </c>
    </row>
    <row r="15" spans="1:8">
      <c r="A15" s="2" t="s">
        <v>106</v>
      </c>
      <c r="B15" s="2" t="s">
        <v>441</v>
      </c>
      <c r="C15" s="2" t="s">
        <v>442</v>
      </c>
      <c r="D15" s="2" t="s">
        <v>389</v>
      </c>
      <c r="E15" s="2" t="s">
        <v>429</v>
      </c>
      <c r="F15" s="3" t="s">
        <v>443</v>
      </c>
      <c r="G15" s="2" t="s">
        <v>397</v>
      </c>
      <c r="H15" s="2" t="s">
        <v>444</v>
      </c>
    </row>
    <row r="16" spans="1:8">
      <c r="A16" s="2" t="s">
        <v>181</v>
      </c>
      <c r="B16" s="2" t="s">
        <v>445</v>
      </c>
      <c r="C16" s="2" t="s">
        <v>442</v>
      </c>
      <c r="D16" s="2" t="s">
        <v>382</v>
      </c>
      <c r="E16" s="2" t="s">
        <v>383</v>
      </c>
      <c r="F16" s="3" t="s">
        <v>446</v>
      </c>
      <c r="G16" s="2" t="s">
        <v>17</v>
      </c>
      <c r="H16" s="2" t="s">
        <v>447</v>
      </c>
    </row>
    <row r="17" spans="1:8">
      <c r="A17" s="2" t="s">
        <v>103</v>
      </c>
      <c r="B17" s="2" t="s">
        <v>448</v>
      </c>
      <c r="C17" s="2" t="s">
        <v>388</v>
      </c>
      <c r="D17" s="2" t="s">
        <v>424</v>
      </c>
      <c r="E17" s="2" t="s">
        <v>390</v>
      </c>
      <c r="F17" s="3" t="s">
        <v>449</v>
      </c>
      <c r="G17" s="2" t="s">
        <v>403</v>
      </c>
      <c r="H17" s="2" t="s">
        <v>450</v>
      </c>
    </row>
    <row r="18" spans="1:8">
      <c r="A18" s="2" t="s">
        <v>241</v>
      </c>
      <c r="B18" s="2" t="s">
        <v>451</v>
      </c>
      <c r="C18" s="2" t="s">
        <v>452</v>
      </c>
      <c r="D18" s="2" t="s">
        <v>453</v>
      </c>
      <c r="E18" s="2" t="s">
        <v>411</v>
      </c>
      <c r="F18" s="3" t="s">
        <v>454</v>
      </c>
      <c r="G18" s="2" t="s">
        <v>455</v>
      </c>
      <c r="H18" s="2" t="s">
        <v>456</v>
      </c>
    </row>
    <row r="19" spans="1:8">
      <c r="A19" s="2" t="s">
        <v>124</v>
      </c>
      <c r="B19" s="2" t="s">
        <v>457</v>
      </c>
      <c r="C19" s="2" t="s">
        <v>442</v>
      </c>
      <c r="D19" s="2" t="s">
        <v>375</v>
      </c>
      <c r="E19" s="2" t="s">
        <v>376</v>
      </c>
      <c r="F19" s="3" t="s">
        <v>458</v>
      </c>
      <c r="G19" s="2" t="s">
        <v>392</v>
      </c>
      <c r="H19" s="2" t="s">
        <v>459</v>
      </c>
    </row>
    <row r="20" spans="1:8">
      <c r="A20" s="2" t="s">
        <v>460</v>
      </c>
      <c r="B20" s="2" t="s">
        <v>461</v>
      </c>
      <c r="C20" s="2" t="s">
        <v>442</v>
      </c>
      <c r="D20" s="2" t="s">
        <v>382</v>
      </c>
      <c r="E20" s="2" t="s">
        <v>429</v>
      </c>
      <c r="F20" s="3" t="s">
        <v>462</v>
      </c>
      <c r="G20" s="2" t="s">
        <v>417</v>
      </c>
      <c r="H20" s="2" t="s">
        <v>463</v>
      </c>
    </row>
    <row r="21" spans="1:8">
      <c r="A21" s="2" t="s">
        <v>205</v>
      </c>
      <c r="B21" s="2" t="s">
        <v>464</v>
      </c>
      <c r="C21" s="2" t="s">
        <v>465</v>
      </c>
      <c r="D21" s="2" t="s">
        <v>466</v>
      </c>
      <c r="E21" s="2" t="s">
        <v>383</v>
      </c>
      <c r="F21" s="3" t="s">
        <v>467</v>
      </c>
      <c r="G21" s="2" t="s">
        <v>385</v>
      </c>
      <c r="H21" s="2" t="s">
        <v>468</v>
      </c>
    </row>
    <row r="22" spans="1:8">
      <c r="A22" s="2" t="s">
        <v>155</v>
      </c>
      <c r="B22" s="2" t="s">
        <v>469</v>
      </c>
      <c r="C22" s="2" t="s">
        <v>400</v>
      </c>
      <c r="D22" s="2" t="s">
        <v>466</v>
      </c>
      <c r="E22" s="2" t="s">
        <v>411</v>
      </c>
      <c r="F22" s="3" t="s">
        <v>470</v>
      </c>
      <c r="G22" s="2" t="s">
        <v>471</v>
      </c>
      <c r="H22" s="2" t="s">
        <v>472</v>
      </c>
    </row>
    <row r="23" spans="1:8">
      <c r="A23" s="2" t="s">
        <v>78</v>
      </c>
      <c r="B23" s="2" t="s">
        <v>473</v>
      </c>
      <c r="C23" s="2" t="s">
        <v>442</v>
      </c>
      <c r="D23" s="2" t="s">
        <v>382</v>
      </c>
      <c r="E23" s="2" t="s">
        <v>376</v>
      </c>
      <c r="F23" s="3" t="s">
        <v>474</v>
      </c>
      <c r="G23" s="2" t="s">
        <v>397</v>
      </c>
      <c r="H23" s="2" t="s">
        <v>475</v>
      </c>
    </row>
    <row r="24" spans="1:8">
      <c r="A24" s="2" t="s">
        <v>250</v>
      </c>
      <c r="B24" s="2" t="s">
        <v>476</v>
      </c>
      <c r="C24" s="2" t="s">
        <v>452</v>
      </c>
      <c r="D24" s="2" t="s">
        <v>389</v>
      </c>
      <c r="E24" s="2" t="s">
        <v>429</v>
      </c>
      <c r="F24" s="3" t="s">
        <v>477</v>
      </c>
      <c r="G24" s="2" t="s">
        <v>439</v>
      </c>
      <c r="H24" s="2" t="s">
        <v>478</v>
      </c>
    </row>
    <row r="25" spans="1:8">
      <c r="A25" s="2" t="s">
        <v>239</v>
      </c>
      <c r="B25" s="2" t="s">
        <v>479</v>
      </c>
      <c r="C25" s="2" t="s">
        <v>442</v>
      </c>
      <c r="D25" s="2" t="s">
        <v>382</v>
      </c>
      <c r="E25" s="2" t="s">
        <v>376</v>
      </c>
      <c r="F25" s="3" t="s">
        <v>480</v>
      </c>
      <c r="G25" s="2" t="s">
        <v>455</v>
      </c>
      <c r="H25" s="2" t="s">
        <v>481</v>
      </c>
    </row>
    <row r="26" spans="1:8">
      <c r="A26" s="2" t="s">
        <v>23</v>
      </c>
      <c r="B26" s="2" t="s">
        <v>482</v>
      </c>
      <c r="C26" s="2" t="s">
        <v>374</v>
      </c>
      <c r="D26" s="2" t="s">
        <v>483</v>
      </c>
      <c r="E26" s="2" t="s">
        <v>429</v>
      </c>
      <c r="F26" s="3" t="s">
        <v>484</v>
      </c>
      <c r="G26" s="2" t="s">
        <v>378</v>
      </c>
      <c r="H26" s="2" t="s">
        <v>485</v>
      </c>
    </row>
    <row r="27" spans="1:8">
      <c r="A27" s="2" t="s">
        <v>45</v>
      </c>
      <c r="B27" s="2" t="s">
        <v>486</v>
      </c>
      <c r="C27" s="2" t="s">
        <v>433</v>
      </c>
      <c r="D27" s="2" t="s">
        <v>54</v>
      </c>
      <c r="E27" s="2" t="s">
        <v>411</v>
      </c>
      <c r="F27" s="3" t="s">
        <v>487</v>
      </c>
      <c r="G27" s="2" t="s">
        <v>426</v>
      </c>
      <c r="H27" s="2" t="s">
        <v>488</v>
      </c>
    </row>
    <row r="28" spans="1:8">
      <c r="A28" s="2" t="s">
        <v>161</v>
      </c>
      <c r="B28" s="2" t="s">
        <v>489</v>
      </c>
      <c r="C28" s="2" t="s">
        <v>381</v>
      </c>
      <c r="D28" s="2" t="s">
        <v>490</v>
      </c>
      <c r="E28" s="2" t="s">
        <v>411</v>
      </c>
      <c r="F28" s="3" t="s">
        <v>491</v>
      </c>
      <c r="G28" s="2" t="s">
        <v>397</v>
      </c>
      <c r="H28" s="2" t="s">
        <v>492</v>
      </c>
    </row>
    <row r="29" spans="1:8">
      <c r="A29" s="2" t="s">
        <v>317</v>
      </c>
      <c r="B29" s="2" t="s">
        <v>493</v>
      </c>
      <c r="C29" s="2" t="s">
        <v>465</v>
      </c>
      <c r="D29" s="2" t="s">
        <v>410</v>
      </c>
      <c r="E29" s="2" t="s">
        <v>383</v>
      </c>
      <c r="F29" s="3" t="s">
        <v>494</v>
      </c>
      <c r="G29" s="2" t="s">
        <v>426</v>
      </c>
      <c r="H29" s="2" t="s">
        <v>495</v>
      </c>
    </row>
    <row r="30" spans="1:8">
      <c r="A30" s="2" t="s">
        <v>496</v>
      </c>
      <c r="B30" s="2" t="s">
        <v>497</v>
      </c>
      <c r="C30" s="2" t="s">
        <v>406</v>
      </c>
      <c r="D30" s="2" t="s">
        <v>395</v>
      </c>
      <c r="E30" s="2" t="s">
        <v>429</v>
      </c>
      <c r="F30" s="3" t="s">
        <v>498</v>
      </c>
      <c r="G30" s="2" t="s">
        <v>403</v>
      </c>
      <c r="H30" s="2" t="s">
        <v>499</v>
      </c>
    </row>
    <row r="31" spans="1:8">
      <c r="A31" s="2" t="s">
        <v>94</v>
      </c>
      <c r="B31" s="2" t="s">
        <v>500</v>
      </c>
      <c r="C31" s="2" t="s">
        <v>400</v>
      </c>
      <c r="D31" s="2" t="s">
        <v>375</v>
      </c>
      <c r="E31" s="2" t="s">
        <v>390</v>
      </c>
      <c r="F31" s="3" t="s">
        <v>501</v>
      </c>
      <c r="G31" s="2" t="s">
        <v>471</v>
      </c>
      <c r="H31" s="2" t="s">
        <v>502</v>
      </c>
    </row>
    <row r="32" spans="1:8">
      <c r="A32" s="2" t="s">
        <v>151</v>
      </c>
      <c r="B32" s="2" t="s">
        <v>503</v>
      </c>
      <c r="C32" s="2" t="s">
        <v>381</v>
      </c>
      <c r="D32" s="2" t="s">
        <v>466</v>
      </c>
      <c r="E32" s="2" t="s">
        <v>411</v>
      </c>
      <c r="F32" s="3" t="s">
        <v>504</v>
      </c>
      <c r="G32" s="2" t="s">
        <v>439</v>
      </c>
      <c r="H32" s="2" t="s">
        <v>505</v>
      </c>
    </row>
    <row r="33" spans="1:8">
      <c r="A33" s="2" t="s">
        <v>51</v>
      </c>
      <c r="B33" s="2" t="s">
        <v>506</v>
      </c>
      <c r="C33" s="2" t="s">
        <v>388</v>
      </c>
      <c r="D33" s="2" t="s">
        <v>483</v>
      </c>
      <c r="E33" s="2" t="s">
        <v>411</v>
      </c>
      <c r="F33" s="3" t="s">
        <v>507</v>
      </c>
      <c r="G33" s="2" t="s">
        <v>397</v>
      </c>
      <c r="H33" s="2" t="s">
        <v>508</v>
      </c>
    </row>
    <row r="34" spans="1:8">
      <c r="A34" s="2" t="s">
        <v>65</v>
      </c>
      <c r="B34" s="2" t="s">
        <v>509</v>
      </c>
      <c r="C34" s="2" t="s">
        <v>374</v>
      </c>
      <c r="D34" s="2" t="s">
        <v>382</v>
      </c>
      <c r="E34" s="2" t="s">
        <v>411</v>
      </c>
      <c r="F34" s="3" t="s">
        <v>510</v>
      </c>
      <c r="G34" s="2" t="s">
        <v>385</v>
      </c>
      <c r="H34" s="2" t="s">
        <v>511</v>
      </c>
    </row>
    <row r="35" spans="1:8">
      <c r="A35" s="2" t="s">
        <v>142</v>
      </c>
      <c r="B35" s="2" t="s">
        <v>512</v>
      </c>
      <c r="C35" s="2" t="s">
        <v>406</v>
      </c>
      <c r="D35" s="2" t="s">
        <v>424</v>
      </c>
      <c r="E35" s="2" t="s">
        <v>390</v>
      </c>
      <c r="F35" s="3" t="s">
        <v>513</v>
      </c>
      <c r="G35" s="2" t="s">
        <v>455</v>
      </c>
      <c r="H35" s="2" t="s">
        <v>514</v>
      </c>
    </row>
    <row r="36" spans="1:8">
      <c r="A36" s="2" t="s">
        <v>109</v>
      </c>
      <c r="B36" s="2" t="s">
        <v>515</v>
      </c>
      <c r="C36" s="2" t="s">
        <v>433</v>
      </c>
      <c r="D36" s="2" t="s">
        <v>483</v>
      </c>
      <c r="E36" s="2" t="s">
        <v>429</v>
      </c>
      <c r="F36" s="3" t="s">
        <v>516</v>
      </c>
      <c r="G36" s="2" t="s">
        <v>413</v>
      </c>
      <c r="H36" s="2" t="s">
        <v>517</v>
      </c>
    </row>
    <row r="37" spans="1:8">
      <c r="A37" s="2" t="s">
        <v>140</v>
      </c>
      <c r="B37" s="2" t="s">
        <v>518</v>
      </c>
      <c r="C37" s="2" t="s">
        <v>465</v>
      </c>
      <c r="D37" s="2" t="s">
        <v>466</v>
      </c>
      <c r="E37" s="2" t="s">
        <v>376</v>
      </c>
      <c r="F37" s="3" t="s">
        <v>519</v>
      </c>
      <c r="G37" s="2" t="s">
        <v>439</v>
      </c>
      <c r="H37" s="2" t="s">
        <v>520</v>
      </c>
    </row>
    <row r="38" spans="1:8">
      <c r="A38" s="2" t="s">
        <v>111</v>
      </c>
      <c r="B38" s="2" t="s">
        <v>521</v>
      </c>
      <c r="C38" s="2" t="s">
        <v>381</v>
      </c>
      <c r="D38" s="2" t="s">
        <v>410</v>
      </c>
      <c r="E38" s="2" t="s">
        <v>390</v>
      </c>
      <c r="F38" s="3" t="s">
        <v>522</v>
      </c>
      <c r="G38" s="2" t="s">
        <v>435</v>
      </c>
      <c r="H38" s="2" t="s">
        <v>523</v>
      </c>
    </row>
    <row r="39" spans="1:8">
      <c r="A39" s="2" t="s">
        <v>158</v>
      </c>
      <c r="B39" s="2" t="s">
        <v>524</v>
      </c>
      <c r="C39" s="2" t="s">
        <v>388</v>
      </c>
      <c r="D39" s="2" t="s">
        <v>389</v>
      </c>
      <c r="E39" s="2" t="s">
        <v>390</v>
      </c>
      <c r="F39" s="3" t="s">
        <v>525</v>
      </c>
      <c r="G39" s="2" t="s">
        <v>439</v>
      </c>
      <c r="H39" s="2" t="s">
        <v>526</v>
      </c>
    </row>
    <row r="40" spans="1:8">
      <c r="A40" s="2" t="s">
        <v>323</v>
      </c>
      <c r="B40" s="2" t="s">
        <v>527</v>
      </c>
      <c r="C40" s="2" t="s">
        <v>442</v>
      </c>
      <c r="D40" s="2" t="s">
        <v>401</v>
      </c>
      <c r="E40" s="2" t="s">
        <v>390</v>
      </c>
      <c r="F40" s="3" t="s">
        <v>528</v>
      </c>
      <c r="G40" s="2" t="s">
        <v>385</v>
      </c>
      <c r="H40" s="2" t="s">
        <v>529</v>
      </c>
    </row>
    <row r="41" spans="1:8">
      <c r="A41" s="2" t="s">
        <v>530</v>
      </c>
      <c r="B41" s="2" t="s">
        <v>531</v>
      </c>
      <c r="C41" s="2" t="s">
        <v>465</v>
      </c>
      <c r="D41" s="2" t="s">
        <v>375</v>
      </c>
      <c r="E41" s="2" t="s">
        <v>429</v>
      </c>
      <c r="F41" s="3" t="s">
        <v>532</v>
      </c>
      <c r="G41" s="2" t="s">
        <v>403</v>
      </c>
      <c r="H41" s="2" t="s">
        <v>533</v>
      </c>
    </row>
    <row r="42" spans="1:8">
      <c r="A42" s="2" t="s">
        <v>153</v>
      </c>
      <c r="B42" s="2" t="s">
        <v>534</v>
      </c>
      <c r="C42" s="2" t="s">
        <v>465</v>
      </c>
      <c r="D42" s="2" t="s">
        <v>375</v>
      </c>
      <c r="E42" s="2" t="s">
        <v>390</v>
      </c>
      <c r="F42" s="3" t="s">
        <v>535</v>
      </c>
      <c r="G42" s="2" t="s">
        <v>426</v>
      </c>
      <c r="H42" s="2" t="s">
        <v>536</v>
      </c>
    </row>
    <row r="43" spans="1:8">
      <c r="A43" s="2" t="s">
        <v>40</v>
      </c>
      <c r="B43" s="2" t="s">
        <v>537</v>
      </c>
      <c r="C43" s="2" t="s">
        <v>442</v>
      </c>
      <c r="D43" s="2" t="s">
        <v>466</v>
      </c>
      <c r="E43" s="2" t="s">
        <v>376</v>
      </c>
      <c r="F43" s="3" t="s">
        <v>538</v>
      </c>
      <c r="G43" s="2" t="s">
        <v>417</v>
      </c>
      <c r="H43" s="2" t="s">
        <v>539</v>
      </c>
    </row>
    <row r="44" spans="1:8">
      <c r="A44" s="2" t="s">
        <v>14</v>
      </c>
      <c r="B44" s="2" t="s">
        <v>540</v>
      </c>
      <c r="C44" s="2" t="s">
        <v>381</v>
      </c>
      <c r="D44" s="2" t="s">
        <v>54</v>
      </c>
      <c r="E44" s="2" t="s">
        <v>411</v>
      </c>
      <c r="F44" s="3" t="s">
        <v>541</v>
      </c>
      <c r="G44" s="2" t="s">
        <v>385</v>
      </c>
      <c r="H44" s="2" t="s">
        <v>542</v>
      </c>
    </row>
    <row r="45" spans="1:8">
      <c r="A45" s="2" t="s">
        <v>147</v>
      </c>
      <c r="B45" s="2" t="s">
        <v>543</v>
      </c>
      <c r="C45" s="2" t="s">
        <v>465</v>
      </c>
      <c r="D45" s="2" t="s">
        <v>375</v>
      </c>
      <c r="E45" s="2" t="s">
        <v>411</v>
      </c>
      <c r="F45" s="3" t="s">
        <v>544</v>
      </c>
      <c r="G45" s="2" t="s">
        <v>397</v>
      </c>
      <c r="H45" s="2" t="s">
        <v>545</v>
      </c>
    </row>
    <row r="46" spans="1:8">
      <c r="A46" s="2" t="s">
        <v>131</v>
      </c>
      <c r="B46" s="2" t="s">
        <v>546</v>
      </c>
      <c r="C46" s="2" t="s">
        <v>423</v>
      </c>
      <c r="D46" s="2" t="s">
        <v>395</v>
      </c>
      <c r="E46" s="2" t="s">
        <v>383</v>
      </c>
      <c r="F46" s="3" t="s">
        <v>547</v>
      </c>
      <c r="G46" s="2" t="s">
        <v>455</v>
      </c>
      <c r="H46" s="2" t="s">
        <v>548</v>
      </c>
    </row>
    <row r="47" spans="1:8">
      <c r="A47" s="2" t="s">
        <v>144</v>
      </c>
      <c r="B47" s="2" t="s">
        <v>549</v>
      </c>
      <c r="C47" s="2" t="s">
        <v>423</v>
      </c>
      <c r="D47" s="2" t="s">
        <v>483</v>
      </c>
      <c r="E47" s="2" t="s">
        <v>383</v>
      </c>
      <c r="F47" s="3" t="s">
        <v>550</v>
      </c>
      <c r="G47" s="2" t="s">
        <v>413</v>
      </c>
      <c r="H47" s="2" t="s">
        <v>551</v>
      </c>
    </row>
    <row r="48" spans="1:8">
      <c r="A48" s="2" t="s">
        <v>173</v>
      </c>
      <c r="B48" s="2" t="s">
        <v>552</v>
      </c>
      <c r="C48" s="2" t="s">
        <v>400</v>
      </c>
      <c r="D48" s="2" t="s">
        <v>466</v>
      </c>
      <c r="E48" s="2" t="s">
        <v>411</v>
      </c>
      <c r="F48" s="3" t="s">
        <v>553</v>
      </c>
      <c r="G48" s="2" t="s">
        <v>385</v>
      </c>
      <c r="H48" s="2" t="s">
        <v>554</v>
      </c>
    </row>
    <row r="49" spans="1:8">
      <c r="A49" s="2" t="s">
        <v>56</v>
      </c>
      <c r="B49" s="2" t="s">
        <v>555</v>
      </c>
      <c r="C49" s="2" t="s">
        <v>452</v>
      </c>
      <c r="D49" s="2" t="s">
        <v>54</v>
      </c>
      <c r="E49" s="2" t="s">
        <v>411</v>
      </c>
      <c r="F49" s="3" t="s">
        <v>556</v>
      </c>
      <c r="G49" s="2" t="s">
        <v>392</v>
      </c>
      <c r="H49" s="2" t="s">
        <v>557</v>
      </c>
    </row>
    <row r="50" spans="1:8">
      <c r="A50" s="2" t="s">
        <v>195</v>
      </c>
      <c r="B50" s="2" t="s">
        <v>558</v>
      </c>
      <c r="C50" s="2" t="s">
        <v>406</v>
      </c>
      <c r="D50" s="2" t="s">
        <v>410</v>
      </c>
      <c r="E50" s="2" t="s">
        <v>429</v>
      </c>
      <c r="F50" s="3" t="s">
        <v>559</v>
      </c>
      <c r="G50" s="2" t="s">
        <v>455</v>
      </c>
      <c r="H50" s="2" t="s">
        <v>560</v>
      </c>
    </row>
    <row r="51" spans="1:8">
      <c r="A51" s="2" t="s">
        <v>101</v>
      </c>
      <c r="B51" s="2" t="s">
        <v>561</v>
      </c>
      <c r="C51" s="2" t="s">
        <v>442</v>
      </c>
      <c r="D51" s="2" t="s">
        <v>490</v>
      </c>
      <c r="E51" s="2" t="s">
        <v>429</v>
      </c>
      <c r="F51" s="3" t="s">
        <v>562</v>
      </c>
      <c r="G51" s="2" t="s">
        <v>397</v>
      </c>
      <c r="H51" s="2" t="s">
        <v>563</v>
      </c>
    </row>
    <row r="52" spans="1:8">
      <c r="A52" s="2" t="s">
        <v>120</v>
      </c>
      <c r="B52" s="2" t="s">
        <v>564</v>
      </c>
      <c r="C52" s="2" t="s">
        <v>452</v>
      </c>
      <c r="D52" s="2" t="s">
        <v>389</v>
      </c>
      <c r="E52" s="2" t="s">
        <v>411</v>
      </c>
      <c r="F52" s="3" t="s">
        <v>565</v>
      </c>
      <c r="G52" s="2" t="s">
        <v>403</v>
      </c>
      <c r="H52" s="2" t="s">
        <v>566</v>
      </c>
    </row>
    <row r="53" spans="1:8">
      <c r="A53" s="2" t="s">
        <v>281</v>
      </c>
      <c r="B53" s="2" t="s">
        <v>567</v>
      </c>
      <c r="C53" s="2" t="s">
        <v>423</v>
      </c>
      <c r="D53" s="2" t="s">
        <v>389</v>
      </c>
      <c r="E53" s="2" t="s">
        <v>429</v>
      </c>
      <c r="F53" s="3" t="s">
        <v>568</v>
      </c>
      <c r="G53" s="2" t="s">
        <v>403</v>
      </c>
      <c r="H53" s="2" t="s">
        <v>569</v>
      </c>
    </row>
    <row r="54" spans="1:8">
      <c r="A54" s="2" t="s">
        <v>211</v>
      </c>
      <c r="B54" s="2" t="s">
        <v>570</v>
      </c>
      <c r="C54" s="2" t="s">
        <v>423</v>
      </c>
      <c r="D54" s="2" t="s">
        <v>453</v>
      </c>
      <c r="E54" s="2" t="s">
        <v>390</v>
      </c>
      <c r="F54" s="3" t="s">
        <v>571</v>
      </c>
      <c r="G54" s="2" t="s">
        <v>413</v>
      </c>
      <c r="H54" s="2" t="s">
        <v>572</v>
      </c>
    </row>
    <row r="55" spans="1:8">
      <c r="A55" s="2" t="s">
        <v>90</v>
      </c>
      <c r="B55" s="2" t="s">
        <v>573</v>
      </c>
      <c r="C55" s="2" t="s">
        <v>423</v>
      </c>
      <c r="D55" s="2" t="s">
        <v>490</v>
      </c>
      <c r="E55" s="2" t="s">
        <v>411</v>
      </c>
      <c r="F55" s="3" t="s">
        <v>574</v>
      </c>
      <c r="G55" s="2" t="s">
        <v>435</v>
      </c>
      <c r="H55" s="2" t="s">
        <v>575</v>
      </c>
    </row>
    <row r="56" spans="1:8">
      <c r="A56" s="2" t="s">
        <v>253</v>
      </c>
      <c r="B56" s="2" t="s">
        <v>576</v>
      </c>
      <c r="C56" s="2" t="s">
        <v>452</v>
      </c>
      <c r="D56" s="2" t="s">
        <v>577</v>
      </c>
      <c r="E56" s="2" t="s">
        <v>390</v>
      </c>
      <c r="F56" s="3" t="s">
        <v>578</v>
      </c>
      <c r="G56" s="2" t="s">
        <v>403</v>
      </c>
      <c r="H56" s="2" t="s">
        <v>579</v>
      </c>
    </row>
    <row r="57" spans="1:8">
      <c r="A57" s="2" t="s">
        <v>30</v>
      </c>
      <c r="B57" s="2" t="s">
        <v>580</v>
      </c>
      <c r="C57" s="2" t="s">
        <v>465</v>
      </c>
      <c r="D57" s="2" t="s">
        <v>466</v>
      </c>
      <c r="E57" s="2" t="s">
        <v>411</v>
      </c>
      <c r="F57" s="3" t="s">
        <v>581</v>
      </c>
      <c r="G57" s="2" t="s">
        <v>435</v>
      </c>
      <c r="H57" s="2" t="s">
        <v>582</v>
      </c>
    </row>
    <row r="58" spans="1:8">
      <c r="A58" s="2" t="s">
        <v>96</v>
      </c>
      <c r="B58" s="2" t="s">
        <v>583</v>
      </c>
      <c r="C58" s="2" t="s">
        <v>374</v>
      </c>
      <c r="D58" s="2" t="s">
        <v>375</v>
      </c>
      <c r="E58" s="2" t="s">
        <v>429</v>
      </c>
      <c r="F58" s="3" t="s">
        <v>584</v>
      </c>
      <c r="G58" s="2" t="s">
        <v>439</v>
      </c>
      <c r="H58" s="2" t="s">
        <v>585</v>
      </c>
    </row>
    <row r="59" spans="1:8">
      <c r="A59" s="2" t="s">
        <v>353</v>
      </c>
      <c r="B59" s="2" t="s">
        <v>586</v>
      </c>
      <c r="C59" s="2" t="s">
        <v>423</v>
      </c>
      <c r="D59" s="2" t="s">
        <v>54</v>
      </c>
      <c r="E59" s="2" t="s">
        <v>411</v>
      </c>
      <c r="F59" s="3" t="s">
        <v>587</v>
      </c>
      <c r="G59" s="2" t="s">
        <v>385</v>
      </c>
      <c r="H59" s="2" t="s">
        <v>588</v>
      </c>
    </row>
    <row r="60" spans="1:8">
      <c r="A60" s="2" t="s">
        <v>149</v>
      </c>
      <c r="B60" s="2" t="s">
        <v>589</v>
      </c>
      <c r="C60" s="2" t="s">
        <v>433</v>
      </c>
      <c r="D60" s="2" t="s">
        <v>54</v>
      </c>
      <c r="E60" s="2" t="s">
        <v>429</v>
      </c>
      <c r="F60" s="3" t="s">
        <v>590</v>
      </c>
      <c r="G60" s="2" t="s">
        <v>417</v>
      </c>
      <c r="H60" s="2" t="s">
        <v>591</v>
      </c>
    </row>
    <row r="61" spans="1:8">
      <c r="A61" s="2" t="s">
        <v>81</v>
      </c>
      <c r="B61" s="2" t="s">
        <v>592</v>
      </c>
      <c r="C61" s="2" t="s">
        <v>381</v>
      </c>
      <c r="D61" s="2" t="s">
        <v>410</v>
      </c>
      <c r="E61" s="2" t="s">
        <v>376</v>
      </c>
      <c r="F61" s="3" t="s">
        <v>593</v>
      </c>
      <c r="G61" s="2" t="s">
        <v>439</v>
      </c>
      <c r="H61" s="2" t="s">
        <v>594</v>
      </c>
    </row>
  </sheetData>
  <autoFilter ref="A1:H6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 activeCell="D12" sqref="D12"/>
    </sheetView>
  </sheetViews>
  <sheetFormatPr defaultRowHeight="15"/>
  <cols>
    <col min="1" max="1" width="12" customWidth="1"/>
    <col min="2" max="2" width="29" customWidth="1"/>
    <col min="3" max="3" width="19" customWidth="1"/>
    <col min="4" max="5" width="12" customWidth="1"/>
    <col min="6" max="6" width="15" customWidth="1"/>
  </cols>
  <sheetData>
    <row r="1" spans="1:6">
      <c r="A1" s="1" t="s">
        <v>3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599</v>
      </c>
    </row>
    <row r="2" spans="1:6">
      <c r="A2" s="2" t="s">
        <v>68</v>
      </c>
      <c r="B2" s="2" t="s">
        <v>600</v>
      </c>
      <c r="C2" s="2" t="s">
        <v>601</v>
      </c>
      <c r="D2" s="36">
        <v>44571</v>
      </c>
      <c r="E2" s="2" t="s">
        <v>602</v>
      </c>
      <c r="F2" s="11">
        <v>1200</v>
      </c>
    </row>
    <row r="3" spans="1:6">
      <c r="A3" s="2" t="s">
        <v>31</v>
      </c>
      <c r="B3" s="2" t="s">
        <v>603</v>
      </c>
      <c r="C3" s="2" t="s">
        <v>601</v>
      </c>
      <c r="D3" s="3">
        <v>44348</v>
      </c>
      <c r="E3" s="2" t="s">
        <v>604</v>
      </c>
      <c r="F3" s="11">
        <v>800</v>
      </c>
    </row>
    <row r="4" spans="1:6">
      <c r="A4" s="2" t="s">
        <v>41</v>
      </c>
      <c r="B4" s="2" t="s">
        <v>605</v>
      </c>
      <c r="C4" s="2" t="s">
        <v>606</v>
      </c>
      <c r="D4" s="3">
        <v>44150</v>
      </c>
      <c r="E4" s="2" t="s">
        <v>602</v>
      </c>
      <c r="F4" s="11">
        <v>1500</v>
      </c>
    </row>
    <row r="5" spans="1:6">
      <c r="A5" s="2" t="s">
        <v>24</v>
      </c>
      <c r="B5" s="2" t="s">
        <v>607</v>
      </c>
      <c r="C5" s="2" t="s">
        <v>606</v>
      </c>
      <c r="D5" s="3">
        <v>44150</v>
      </c>
      <c r="E5" s="2" t="s">
        <v>608</v>
      </c>
      <c r="F5" s="11">
        <v>400</v>
      </c>
    </row>
    <row r="6" spans="1:6">
      <c r="A6" s="2" t="s">
        <v>57</v>
      </c>
      <c r="B6" s="2" t="s">
        <v>609</v>
      </c>
      <c r="C6" s="2" t="s">
        <v>610</v>
      </c>
      <c r="D6" s="3">
        <v>44977</v>
      </c>
      <c r="E6" s="2" t="s">
        <v>602</v>
      </c>
      <c r="F6" s="11">
        <v>2000</v>
      </c>
    </row>
    <row r="7" spans="1:6">
      <c r="A7" s="2" t="s">
        <v>79</v>
      </c>
      <c r="B7" s="2" t="s">
        <v>611</v>
      </c>
      <c r="C7" s="2" t="s">
        <v>612</v>
      </c>
      <c r="D7" s="3">
        <v>44778</v>
      </c>
      <c r="E7" s="2" t="s">
        <v>604</v>
      </c>
      <c r="F7" s="11">
        <v>950</v>
      </c>
    </row>
    <row r="8" spans="1:6">
      <c r="A8" s="2" t="s">
        <v>15</v>
      </c>
      <c r="B8" s="2" t="s">
        <v>613</v>
      </c>
      <c r="C8" s="2" t="s">
        <v>612</v>
      </c>
      <c r="D8" s="3">
        <v>44267</v>
      </c>
      <c r="E8" s="2" t="s">
        <v>602</v>
      </c>
      <c r="F8" s="11">
        <v>1750</v>
      </c>
    </row>
    <row r="9" spans="1:6">
      <c r="A9" s="2" t="s">
        <v>63</v>
      </c>
      <c r="B9" s="2" t="s">
        <v>614</v>
      </c>
      <c r="C9" s="2" t="s">
        <v>615</v>
      </c>
      <c r="D9" s="3">
        <v>45108</v>
      </c>
      <c r="E9" s="2" t="s">
        <v>602</v>
      </c>
      <c r="F9" s="11">
        <v>2200</v>
      </c>
    </row>
    <row r="10" spans="1:6">
      <c r="A10" s="2" t="s">
        <v>91</v>
      </c>
      <c r="B10" s="2" t="s">
        <v>616</v>
      </c>
      <c r="C10" s="2" t="s">
        <v>617</v>
      </c>
      <c r="D10" s="3">
        <v>44699</v>
      </c>
      <c r="E10" s="2" t="s">
        <v>604</v>
      </c>
      <c r="F10" s="11">
        <v>700</v>
      </c>
    </row>
    <row r="11" spans="1:6">
      <c r="A11" s="2" t="s">
        <v>52</v>
      </c>
      <c r="B11" s="2" t="s">
        <v>618</v>
      </c>
      <c r="C11" s="2" t="s">
        <v>619</v>
      </c>
      <c r="D11" s="3">
        <v>44448</v>
      </c>
      <c r="E11" s="2" t="s">
        <v>602</v>
      </c>
      <c r="F11" s="11">
        <v>1900</v>
      </c>
    </row>
    <row r="12" spans="1:6">
      <c r="A12" s="2" t="s">
        <v>72</v>
      </c>
      <c r="B12" s="2" t="s">
        <v>620</v>
      </c>
      <c r="C12" s="2" t="s">
        <v>621</v>
      </c>
      <c r="D12" s="3">
        <v>45027</v>
      </c>
      <c r="E12" s="2" t="s">
        <v>608</v>
      </c>
      <c r="F12" s="11">
        <v>500</v>
      </c>
    </row>
    <row r="13" spans="1:6">
      <c r="A13" s="2" t="s">
        <v>36</v>
      </c>
      <c r="B13" s="2" t="s">
        <v>622</v>
      </c>
      <c r="C13" s="2" t="s">
        <v>606</v>
      </c>
      <c r="D13" s="3">
        <v>44896</v>
      </c>
      <c r="E13" s="2" t="s">
        <v>604</v>
      </c>
      <c r="F13" s="11">
        <v>1100</v>
      </c>
    </row>
  </sheetData>
  <autoFilter ref="A1:F1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9.5703125" bestFit="1" customWidth="1"/>
    <col min="2" max="2" width="16.140625" bestFit="1" customWidth="1"/>
    <col min="3" max="3" width="20" bestFit="1" customWidth="1"/>
    <col min="4" max="4" width="30.5703125" bestFit="1" customWidth="1"/>
    <col min="5" max="5" width="21.28515625" customWidth="1"/>
    <col min="6" max="6" width="28.42578125" bestFit="1" customWidth="1"/>
  </cols>
  <sheetData>
    <row r="1" spans="1:6">
      <c r="A1" s="1" t="s">
        <v>623</v>
      </c>
      <c r="B1" s="1" t="s">
        <v>624</v>
      </c>
      <c r="C1" s="1" t="s">
        <v>8</v>
      </c>
      <c r="D1" s="1" t="s">
        <v>625</v>
      </c>
      <c r="E1" s="1" t="s">
        <v>626</v>
      </c>
      <c r="F1" s="1" t="s">
        <v>372</v>
      </c>
    </row>
    <row r="2" spans="1:6">
      <c r="A2" s="2" t="s">
        <v>37</v>
      </c>
      <c r="B2" s="2" t="s">
        <v>413</v>
      </c>
      <c r="C2" s="2" t="s">
        <v>26</v>
      </c>
      <c r="D2" s="2" t="s">
        <v>390</v>
      </c>
      <c r="E2" s="3">
        <v>44029</v>
      </c>
      <c r="F2" s="2" t="s">
        <v>627</v>
      </c>
    </row>
    <row r="3" spans="1:6">
      <c r="A3" s="2" t="s">
        <v>42</v>
      </c>
      <c r="B3" s="2" t="s">
        <v>378</v>
      </c>
      <c r="C3" s="2" t="s">
        <v>60</v>
      </c>
      <c r="D3" s="2" t="s">
        <v>390</v>
      </c>
      <c r="E3" s="3">
        <v>43675</v>
      </c>
      <c r="F3" s="2" t="s">
        <v>628</v>
      </c>
    </row>
    <row r="4" spans="1:6">
      <c r="A4" s="2" t="s">
        <v>53</v>
      </c>
      <c r="B4" s="2" t="s">
        <v>435</v>
      </c>
      <c r="C4" s="2" t="s">
        <v>26</v>
      </c>
      <c r="D4" s="2" t="s">
        <v>390</v>
      </c>
      <c r="E4" s="3">
        <v>44330</v>
      </c>
      <c r="F4" s="2" t="s">
        <v>629</v>
      </c>
    </row>
    <row r="5" spans="1:6">
      <c r="A5" s="2" t="s">
        <v>25</v>
      </c>
      <c r="B5" s="2" t="s">
        <v>385</v>
      </c>
      <c r="C5" s="2" t="s">
        <v>26</v>
      </c>
      <c r="D5" s="2" t="s">
        <v>429</v>
      </c>
      <c r="E5" s="3">
        <v>43942</v>
      </c>
      <c r="F5" s="2" t="s">
        <v>630</v>
      </c>
    </row>
    <row r="6" spans="1:6">
      <c r="A6" s="2" t="s">
        <v>97</v>
      </c>
      <c r="B6" s="2" t="s">
        <v>455</v>
      </c>
      <c r="C6" s="2" t="s">
        <v>26</v>
      </c>
      <c r="D6" s="2" t="s">
        <v>390</v>
      </c>
      <c r="E6" s="3">
        <v>43873</v>
      </c>
      <c r="F6" s="2" t="s">
        <v>631</v>
      </c>
    </row>
    <row r="7" spans="1:6">
      <c r="A7" s="2" t="s">
        <v>87</v>
      </c>
      <c r="B7" s="2" t="s">
        <v>392</v>
      </c>
      <c r="C7" s="2" t="s">
        <v>54</v>
      </c>
      <c r="D7" s="2" t="s">
        <v>429</v>
      </c>
      <c r="E7" s="3">
        <v>44385</v>
      </c>
      <c r="F7" s="2" t="s">
        <v>632</v>
      </c>
    </row>
    <row r="8" spans="1:6">
      <c r="A8" s="2" t="s">
        <v>16</v>
      </c>
      <c r="B8" s="2" t="s">
        <v>439</v>
      </c>
      <c r="C8" s="2" t="s">
        <v>26</v>
      </c>
      <c r="D8" s="2" t="s">
        <v>429</v>
      </c>
      <c r="E8" s="3">
        <v>44895</v>
      </c>
      <c r="F8" s="2" t="s">
        <v>633</v>
      </c>
    </row>
    <row r="9" spans="1:6">
      <c r="A9" s="2" t="s">
        <v>112</v>
      </c>
      <c r="B9" s="2" t="s">
        <v>471</v>
      </c>
      <c r="C9" s="2" t="s">
        <v>18</v>
      </c>
      <c r="D9" s="2" t="s">
        <v>429</v>
      </c>
      <c r="E9" s="3">
        <v>43906</v>
      </c>
      <c r="F9" s="2" t="s">
        <v>634</v>
      </c>
    </row>
    <row r="10" spans="1:6">
      <c r="A10" s="2" t="s">
        <v>69</v>
      </c>
      <c r="B10" s="2" t="s">
        <v>426</v>
      </c>
      <c r="C10" s="2" t="s">
        <v>26</v>
      </c>
      <c r="D10" s="2" t="s">
        <v>635</v>
      </c>
      <c r="E10" s="3">
        <v>43664</v>
      </c>
      <c r="F10" s="2" t="s">
        <v>636</v>
      </c>
    </row>
    <row r="11" spans="1:6">
      <c r="A11" s="2" t="s">
        <v>85</v>
      </c>
      <c r="B11" s="2" t="s">
        <v>417</v>
      </c>
      <c r="C11" s="2" t="s">
        <v>98</v>
      </c>
      <c r="D11" s="2" t="s">
        <v>635</v>
      </c>
      <c r="E11" s="3">
        <v>45118</v>
      </c>
      <c r="F11" s="2" t="s">
        <v>637</v>
      </c>
    </row>
    <row r="12" spans="1:6">
      <c r="A12" s="2" t="s">
        <v>73</v>
      </c>
      <c r="B12" s="2" t="s">
        <v>397</v>
      </c>
      <c r="C12" s="2" t="s">
        <v>98</v>
      </c>
      <c r="D12" s="2" t="s">
        <v>429</v>
      </c>
      <c r="E12" s="3">
        <v>44241</v>
      </c>
      <c r="F12" s="2" t="s">
        <v>638</v>
      </c>
    </row>
    <row r="13" spans="1:6">
      <c r="A13" s="2" t="s">
        <v>46</v>
      </c>
      <c r="B13" s="2" t="s">
        <v>403</v>
      </c>
      <c r="C13" s="2" t="s">
        <v>18</v>
      </c>
      <c r="D13" s="2" t="s">
        <v>390</v>
      </c>
      <c r="E13" s="3">
        <v>44732</v>
      </c>
      <c r="F13" s="2" t="s">
        <v>639</v>
      </c>
    </row>
  </sheetData>
  <autoFilter ref="A1:F13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3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2" width="12" customWidth="1"/>
    <col min="3" max="3" width="13" customWidth="1"/>
    <col min="4" max="4" width="19" customWidth="1"/>
    <col min="5" max="5" width="20" customWidth="1"/>
    <col min="6" max="6" width="19" customWidth="1"/>
    <col min="7" max="7" width="13" customWidth="1"/>
  </cols>
  <sheetData>
    <row r="1" spans="1:7">
      <c r="A1" s="1" t="s">
        <v>640</v>
      </c>
      <c r="B1" s="1" t="s">
        <v>2</v>
      </c>
      <c r="C1" s="1" t="s">
        <v>641</v>
      </c>
      <c r="D1" s="1" t="s">
        <v>642</v>
      </c>
      <c r="E1" s="1" t="s">
        <v>643</v>
      </c>
      <c r="F1" s="9" t="s">
        <v>644</v>
      </c>
      <c r="G1" s="1" t="s">
        <v>645</v>
      </c>
    </row>
    <row r="2" spans="1:7">
      <c r="A2" s="2" t="s">
        <v>646</v>
      </c>
      <c r="B2" s="2" t="s">
        <v>317</v>
      </c>
      <c r="C2" s="3">
        <v>45065</v>
      </c>
      <c r="D2" s="2" t="s">
        <v>647</v>
      </c>
      <c r="E2" s="5">
        <v>-3</v>
      </c>
      <c r="F2" s="7">
        <v>3</v>
      </c>
      <c r="G2" s="2" t="s">
        <v>648</v>
      </c>
    </row>
    <row r="3" spans="1:7">
      <c r="A3" s="2" t="s">
        <v>649</v>
      </c>
      <c r="B3" s="2" t="s">
        <v>90</v>
      </c>
      <c r="C3" s="3">
        <v>45358</v>
      </c>
      <c r="D3" s="2" t="s">
        <v>650</v>
      </c>
      <c r="E3" s="5">
        <v>54.1</v>
      </c>
      <c r="F3" s="7" t="s">
        <v>17</v>
      </c>
      <c r="G3" s="2" t="s">
        <v>32</v>
      </c>
    </row>
    <row r="4" spans="1:7">
      <c r="A4" s="2" t="s">
        <v>651</v>
      </c>
      <c r="B4" s="2" t="s">
        <v>84</v>
      </c>
      <c r="C4" s="3">
        <v>44928</v>
      </c>
      <c r="D4" s="2" t="s">
        <v>652</v>
      </c>
      <c r="E4" s="5">
        <v>34.4</v>
      </c>
      <c r="F4" s="7">
        <v>4</v>
      </c>
      <c r="G4" s="2" t="s">
        <v>32</v>
      </c>
    </row>
    <row r="5" spans="1:7">
      <c r="A5" s="2" t="s">
        <v>653</v>
      </c>
      <c r="B5" s="2" t="s">
        <v>241</v>
      </c>
      <c r="C5" s="3">
        <v>45304</v>
      </c>
      <c r="D5" s="2" t="s">
        <v>650</v>
      </c>
      <c r="E5" s="5">
        <v>-3</v>
      </c>
      <c r="F5" s="7">
        <v>4</v>
      </c>
      <c r="G5" s="2" t="s">
        <v>32</v>
      </c>
    </row>
    <row r="6" spans="1:7">
      <c r="A6" s="2" t="s">
        <v>654</v>
      </c>
      <c r="B6" s="2" t="s">
        <v>59</v>
      </c>
      <c r="C6" s="3">
        <v>45004</v>
      </c>
      <c r="D6" s="2" t="s">
        <v>650</v>
      </c>
      <c r="E6" s="5">
        <v>50.3</v>
      </c>
      <c r="F6" s="7">
        <v>3</v>
      </c>
      <c r="G6" s="2" t="s">
        <v>655</v>
      </c>
    </row>
    <row r="7" spans="1:7">
      <c r="A7" s="2" t="s">
        <v>656</v>
      </c>
      <c r="B7" s="2" t="s">
        <v>317</v>
      </c>
      <c r="C7" s="3">
        <v>45306</v>
      </c>
      <c r="D7" s="2" t="s">
        <v>657</v>
      </c>
      <c r="E7" s="5" t="s">
        <v>17</v>
      </c>
      <c r="F7" s="7" t="s">
        <v>17</v>
      </c>
      <c r="G7" s="2" t="s">
        <v>648</v>
      </c>
    </row>
    <row r="8" spans="1:7">
      <c r="A8" s="2" t="s">
        <v>658</v>
      </c>
      <c r="B8" s="2" t="s">
        <v>94</v>
      </c>
      <c r="C8" s="3">
        <v>45083</v>
      </c>
      <c r="D8" s="2" t="s">
        <v>647</v>
      </c>
      <c r="E8" s="5">
        <v>0</v>
      </c>
      <c r="F8" s="7">
        <v>4</v>
      </c>
      <c r="G8" s="2" t="s">
        <v>659</v>
      </c>
    </row>
    <row r="9" spans="1:7">
      <c r="A9" s="2" t="s">
        <v>660</v>
      </c>
      <c r="B9" s="2" t="s">
        <v>211</v>
      </c>
      <c r="C9" s="3">
        <v>45201</v>
      </c>
      <c r="D9" s="2" t="s">
        <v>652</v>
      </c>
      <c r="E9" s="5">
        <v>-3</v>
      </c>
      <c r="F9" s="7">
        <v>3</v>
      </c>
      <c r="G9" s="2" t="s">
        <v>655</v>
      </c>
    </row>
    <row r="10" spans="1:7">
      <c r="A10" s="2" t="s">
        <v>661</v>
      </c>
      <c r="B10" s="2" t="s">
        <v>51</v>
      </c>
      <c r="C10" s="3">
        <v>45259</v>
      </c>
      <c r="D10" s="2" t="s">
        <v>662</v>
      </c>
      <c r="E10" s="5">
        <v>50.6</v>
      </c>
      <c r="F10" s="7">
        <v>5</v>
      </c>
      <c r="G10" s="2" t="s">
        <v>655</v>
      </c>
    </row>
    <row r="11" spans="1:7">
      <c r="A11" s="2" t="s">
        <v>663</v>
      </c>
      <c r="B11" s="2" t="s">
        <v>142</v>
      </c>
      <c r="C11" s="3">
        <v>45122</v>
      </c>
      <c r="D11" s="2" t="s">
        <v>652</v>
      </c>
      <c r="E11" s="5">
        <v>0</v>
      </c>
      <c r="F11" s="7">
        <v>4</v>
      </c>
      <c r="G11" s="2" t="s">
        <v>648</v>
      </c>
    </row>
    <row r="12" spans="1:7">
      <c r="A12" s="2" t="s">
        <v>664</v>
      </c>
      <c r="B12" s="2" t="s">
        <v>122</v>
      </c>
      <c r="C12" s="3">
        <v>45022</v>
      </c>
      <c r="D12" s="2" t="s">
        <v>652</v>
      </c>
      <c r="E12" s="5" t="s">
        <v>17</v>
      </c>
      <c r="F12" s="7">
        <v>4</v>
      </c>
      <c r="G12" s="2" t="s">
        <v>32</v>
      </c>
    </row>
    <row r="13" spans="1:7">
      <c r="A13" s="2" t="s">
        <v>665</v>
      </c>
      <c r="B13" s="2" t="s">
        <v>140</v>
      </c>
      <c r="C13" s="3">
        <v>45265</v>
      </c>
      <c r="D13" s="2" t="s">
        <v>662</v>
      </c>
      <c r="E13" s="5">
        <v>9.1</v>
      </c>
      <c r="F13" s="7">
        <v>2</v>
      </c>
      <c r="G13" s="2" t="s">
        <v>659</v>
      </c>
    </row>
    <row r="14" spans="1:7">
      <c r="A14" s="2" t="s">
        <v>666</v>
      </c>
      <c r="B14" s="2" t="s">
        <v>56</v>
      </c>
      <c r="C14" s="3">
        <v>45422</v>
      </c>
      <c r="D14" s="2" t="s">
        <v>657</v>
      </c>
      <c r="E14" s="5">
        <v>26.3</v>
      </c>
      <c r="F14" s="7">
        <v>1</v>
      </c>
      <c r="G14" s="2" t="s">
        <v>32</v>
      </c>
    </row>
    <row r="15" spans="1:7">
      <c r="A15" s="2" t="s">
        <v>667</v>
      </c>
      <c r="B15" s="2" t="s">
        <v>109</v>
      </c>
      <c r="C15" s="3">
        <v>45056</v>
      </c>
      <c r="D15" s="2" t="s">
        <v>668</v>
      </c>
      <c r="E15" s="5">
        <v>0</v>
      </c>
      <c r="F15" s="7">
        <v>1</v>
      </c>
      <c r="G15" s="2" t="s">
        <v>648</v>
      </c>
    </row>
    <row r="16" spans="1:7">
      <c r="A16" s="2" t="s">
        <v>669</v>
      </c>
      <c r="B16" s="2" t="s">
        <v>264</v>
      </c>
      <c r="C16" s="3">
        <v>45514</v>
      </c>
      <c r="D16" s="2" t="s">
        <v>662</v>
      </c>
      <c r="E16" s="5">
        <v>24.9</v>
      </c>
      <c r="F16" s="7" t="s">
        <v>17</v>
      </c>
      <c r="G16" s="2" t="s">
        <v>655</v>
      </c>
    </row>
    <row r="17" spans="1:7">
      <c r="A17" s="2" t="s">
        <v>670</v>
      </c>
      <c r="B17" s="2" t="s">
        <v>45</v>
      </c>
      <c r="C17" s="3">
        <v>45430</v>
      </c>
      <c r="D17" s="2" t="s">
        <v>668</v>
      </c>
      <c r="E17" s="5">
        <v>-3</v>
      </c>
      <c r="F17" s="7">
        <v>5</v>
      </c>
      <c r="G17" s="2" t="s">
        <v>655</v>
      </c>
    </row>
    <row r="18" spans="1:7">
      <c r="A18" s="2" t="s">
        <v>671</v>
      </c>
      <c r="B18" s="2" t="s">
        <v>120</v>
      </c>
      <c r="C18" s="3">
        <v>45158</v>
      </c>
      <c r="D18" s="2" t="s">
        <v>662</v>
      </c>
      <c r="E18" s="5">
        <v>65.5</v>
      </c>
      <c r="F18" s="7">
        <v>5</v>
      </c>
      <c r="G18" s="2" t="s">
        <v>32</v>
      </c>
    </row>
    <row r="19" spans="1:7">
      <c r="A19" s="2" t="s">
        <v>672</v>
      </c>
      <c r="B19" s="2" t="s">
        <v>67</v>
      </c>
      <c r="C19" s="3">
        <v>44934</v>
      </c>
      <c r="D19" s="2" t="s">
        <v>673</v>
      </c>
      <c r="E19" s="5">
        <v>0</v>
      </c>
      <c r="F19" s="7" t="s">
        <v>17</v>
      </c>
      <c r="G19" s="2" t="s">
        <v>655</v>
      </c>
    </row>
    <row r="20" spans="1:7">
      <c r="A20" s="2" t="s">
        <v>674</v>
      </c>
      <c r="B20" s="2" t="s">
        <v>151</v>
      </c>
      <c r="C20" s="3">
        <v>45225</v>
      </c>
      <c r="D20" s="2" t="s">
        <v>652</v>
      </c>
      <c r="E20" s="5">
        <v>17.2</v>
      </c>
      <c r="F20" s="7" t="s">
        <v>17</v>
      </c>
      <c r="G20" s="2" t="s">
        <v>648</v>
      </c>
    </row>
    <row r="21" spans="1:7">
      <c r="A21" s="2" t="s">
        <v>675</v>
      </c>
      <c r="B21" s="2" t="s">
        <v>153</v>
      </c>
      <c r="C21" s="3">
        <v>45129</v>
      </c>
      <c r="D21" s="2" t="s">
        <v>650</v>
      </c>
      <c r="E21" s="5">
        <v>65.5</v>
      </c>
      <c r="F21" s="7" t="s">
        <v>17</v>
      </c>
      <c r="G21" s="2" t="s">
        <v>74</v>
      </c>
    </row>
    <row r="22" spans="1:7">
      <c r="A22" s="2" t="s">
        <v>676</v>
      </c>
      <c r="B22" s="2" t="s">
        <v>323</v>
      </c>
      <c r="C22" s="3">
        <v>45509</v>
      </c>
      <c r="D22" s="2" t="s">
        <v>662</v>
      </c>
      <c r="E22" s="5">
        <v>0</v>
      </c>
      <c r="F22" s="7">
        <v>4</v>
      </c>
      <c r="G22" s="2" t="s">
        <v>655</v>
      </c>
    </row>
    <row r="23" spans="1:7">
      <c r="A23" s="2" t="s">
        <v>677</v>
      </c>
      <c r="B23" s="2" t="s">
        <v>323</v>
      </c>
      <c r="C23" s="3">
        <v>44967</v>
      </c>
      <c r="D23" s="2" t="s">
        <v>678</v>
      </c>
      <c r="E23" s="5">
        <v>43.7</v>
      </c>
      <c r="F23" s="7" t="s">
        <v>17</v>
      </c>
      <c r="G23" s="2" t="s">
        <v>32</v>
      </c>
    </row>
    <row r="24" spans="1:7">
      <c r="A24" s="2" t="s">
        <v>679</v>
      </c>
      <c r="B24" s="2" t="s">
        <v>211</v>
      </c>
      <c r="C24" s="3">
        <v>45202</v>
      </c>
      <c r="D24" s="2" t="s">
        <v>647</v>
      </c>
      <c r="E24" s="5">
        <v>0</v>
      </c>
      <c r="F24" s="7">
        <v>1</v>
      </c>
      <c r="G24" s="2" t="s">
        <v>659</v>
      </c>
    </row>
    <row r="25" spans="1:7">
      <c r="A25" s="2" t="s">
        <v>680</v>
      </c>
      <c r="B25" s="2" t="s">
        <v>250</v>
      </c>
      <c r="C25" s="3">
        <v>45345</v>
      </c>
      <c r="D25" s="2" t="s">
        <v>678</v>
      </c>
      <c r="E25" s="5">
        <v>-3</v>
      </c>
      <c r="F25" s="7" t="s">
        <v>17</v>
      </c>
      <c r="G25" s="2" t="s">
        <v>648</v>
      </c>
    </row>
    <row r="26" spans="1:7">
      <c r="A26" s="2" t="s">
        <v>681</v>
      </c>
      <c r="B26" s="2" t="s">
        <v>140</v>
      </c>
      <c r="C26" s="3">
        <v>44964</v>
      </c>
      <c r="D26" s="2" t="s">
        <v>650</v>
      </c>
      <c r="E26" s="5">
        <v>23</v>
      </c>
      <c r="F26" s="7" t="s">
        <v>17</v>
      </c>
      <c r="G26" s="2" t="s">
        <v>648</v>
      </c>
    </row>
    <row r="27" spans="1:7">
      <c r="A27" s="2" t="s">
        <v>682</v>
      </c>
      <c r="B27" s="2" t="s">
        <v>109</v>
      </c>
      <c r="C27" s="3">
        <v>45400</v>
      </c>
      <c r="D27" s="2" t="s">
        <v>668</v>
      </c>
      <c r="E27" s="5">
        <v>45.2</v>
      </c>
      <c r="F27" s="7">
        <v>3</v>
      </c>
      <c r="G27" s="2" t="s">
        <v>655</v>
      </c>
    </row>
    <row r="28" spans="1:7">
      <c r="A28" s="2" t="s">
        <v>683</v>
      </c>
      <c r="B28" s="2" t="s">
        <v>62</v>
      </c>
      <c r="C28" s="3">
        <v>45221</v>
      </c>
      <c r="D28" s="2" t="s">
        <v>662</v>
      </c>
      <c r="E28" s="5">
        <v>9.1999999999999993</v>
      </c>
      <c r="F28" s="7">
        <v>5</v>
      </c>
      <c r="G28" s="2" t="s">
        <v>659</v>
      </c>
    </row>
    <row r="29" spans="1:7">
      <c r="A29" s="2" t="s">
        <v>684</v>
      </c>
      <c r="B29" s="2" t="s">
        <v>71</v>
      </c>
      <c r="C29" s="3">
        <v>45157</v>
      </c>
      <c r="D29" s="2" t="s">
        <v>662</v>
      </c>
      <c r="E29" s="5">
        <v>21.4</v>
      </c>
      <c r="F29" s="7">
        <v>4</v>
      </c>
      <c r="G29" s="2" t="s">
        <v>648</v>
      </c>
    </row>
    <row r="30" spans="1:7">
      <c r="A30" s="2" t="s">
        <v>685</v>
      </c>
      <c r="B30" s="2" t="s">
        <v>151</v>
      </c>
      <c r="C30" s="3">
        <v>45410</v>
      </c>
      <c r="D30" s="2" t="s">
        <v>662</v>
      </c>
      <c r="E30" s="5">
        <v>27.9</v>
      </c>
      <c r="F30" s="7">
        <v>3</v>
      </c>
      <c r="G30" s="2" t="s">
        <v>648</v>
      </c>
    </row>
    <row r="31" spans="1:7">
      <c r="A31" s="2" t="s">
        <v>686</v>
      </c>
      <c r="B31" s="2" t="s">
        <v>120</v>
      </c>
      <c r="C31" s="3">
        <v>45351</v>
      </c>
      <c r="D31" s="2" t="s">
        <v>657</v>
      </c>
      <c r="E31" s="5">
        <v>0</v>
      </c>
      <c r="F31" s="7" t="s">
        <v>17</v>
      </c>
      <c r="G31" s="2" t="s">
        <v>659</v>
      </c>
    </row>
    <row r="32" spans="1:7">
      <c r="A32" s="2" t="s">
        <v>687</v>
      </c>
      <c r="B32" s="2" t="s">
        <v>496</v>
      </c>
      <c r="C32" s="3">
        <v>45478</v>
      </c>
      <c r="D32" s="2" t="s">
        <v>678</v>
      </c>
      <c r="E32" s="5">
        <v>67.2</v>
      </c>
      <c r="F32" s="7">
        <v>5</v>
      </c>
      <c r="G32" s="2" t="s">
        <v>659</v>
      </c>
    </row>
    <row r="33" spans="1:7">
      <c r="A33" s="2" t="s">
        <v>688</v>
      </c>
      <c r="B33" s="2" t="s">
        <v>181</v>
      </c>
      <c r="C33" s="3">
        <v>45347</v>
      </c>
      <c r="D33" s="2" t="s">
        <v>678</v>
      </c>
      <c r="E33" s="5">
        <v>58.5</v>
      </c>
      <c r="F33" s="7">
        <v>4</v>
      </c>
      <c r="G33" s="2" t="s">
        <v>655</v>
      </c>
    </row>
    <row r="34" spans="1:7">
      <c r="A34" s="2" t="s">
        <v>689</v>
      </c>
      <c r="B34" s="2" t="s">
        <v>62</v>
      </c>
      <c r="C34" s="3">
        <v>45441</v>
      </c>
      <c r="D34" s="2" t="s">
        <v>650</v>
      </c>
      <c r="E34" s="5">
        <v>-3</v>
      </c>
      <c r="F34" s="7" t="s">
        <v>17</v>
      </c>
      <c r="G34" s="2" t="s">
        <v>32</v>
      </c>
    </row>
    <row r="35" spans="1:7">
      <c r="A35" s="2" t="s">
        <v>690</v>
      </c>
      <c r="B35" s="2" t="s">
        <v>320</v>
      </c>
      <c r="C35" s="3">
        <v>45003</v>
      </c>
      <c r="D35" s="2" t="s">
        <v>673</v>
      </c>
      <c r="E35" s="5">
        <v>-3</v>
      </c>
      <c r="F35" s="7">
        <v>3</v>
      </c>
      <c r="G35" s="2" t="s">
        <v>32</v>
      </c>
    </row>
    <row r="36" spans="1:7">
      <c r="A36" s="2" t="s">
        <v>691</v>
      </c>
      <c r="B36" s="2" t="s">
        <v>144</v>
      </c>
      <c r="C36" s="3">
        <v>45426</v>
      </c>
      <c r="D36" s="2" t="s">
        <v>650</v>
      </c>
      <c r="E36" s="5">
        <v>49.4</v>
      </c>
      <c r="F36" s="7" t="s">
        <v>17</v>
      </c>
      <c r="G36" s="2" t="s">
        <v>32</v>
      </c>
    </row>
    <row r="37" spans="1:7">
      <c r="A37" s="2" t="s">
        <v>692</v>
      </c>
      <c r="B37" s="2" t="s">
        <v>144</v>
      </c>
      <c r="C37" s="3">
        <v>45029</v>
      </c>
      <c r="D37" s="2" t="s">
        <v>647</v>
      </c>
      <c r="E37" s="5" t="s">
        <v>17</v>
      </c>
      <c r="F37" s="7">
        <v>4</v>
      </c>
      <c r="G37" s="2" t="s">
        <v>659</v>
      </c>
    </row>
    <row r="38" spans="1:7">
      <c r="A38" s="2" t="s">
        <v>693</v>
      </c>
      <c r="B38" s="2" t="s">
        <v>103</v>
      </c>
      <c r="C38" s="3">
        <v>45470</v>
      </c>
      <c r="D38" s="2" t="s">
        <v>647</v>
      </c>
      <c r="E38" s="5">
        <v>62.8</v>
      </c>
      <c r="F38" s="7">
        <v>2</v>
      </c>
      <c r="G38" s="2" t="s">
        <v>659</v>
      </c>
    </row>
    <row r="39" spans="1:7">
      <c r="A39" s="2" t="s">
        <v>694</v>
      </c>
      <c r="B39" s="2" t="s">
        <v>153</v>
      </c>
      <c r="C39" s="3">
        <v>45187</v>
      </c>
      <c r="D39" s="2" t="s">
        <v>673</v>
      </c>
      <c r="E39" s="5">
        <v>64.8</v>
      </c>
      <c r="F39" s="7">
        <v>4</v>
      </c>
      <c r="G39" s="2" t="s">
        <v>74</v>
      </c>
    </row>
    <row r="40" spans="1:7">
      <c r="A40" s="2" t="s">
        <v>695</v>
      </c>
      <c r="B40" s="2" t="s">
        <v>158</v>
      </c>
      <c r="C40" s="3">
        <v>45233</v>
      </c>
      <c r="D40" s="2" t="s">
        <v>673</v>
      </c>
      <c r="E40" s="5">
        <v>-3</v>
      </c>
      <c r="F40" s="7">
        <v>5</v>
      </c>
      <c r="G40" s="2" t="s">
        <v>74</v>
      </c>
    </row>
    <row r="41" spans="1:7">
      <c r="A41" s="2" t="s">
        <v>696</v>
      </c>
      <c r="B41" s="2" t="s">
        <v>111</v>
      </c>
      <c r="C41" s="3">
        <v>45229</v>
      </c>
      <c r="D41" s="2" t="s">
        <v>668</v>
      </c>
      <c r="E41" s="5">
        <v>70.400000000000006</v>
      </c>
      <c r="F41" s="7">
        <v>5</v>
      </c>
      <c r="G41" s="2" t="s">
        <v>32</v>
      </c>
    </row>
    <row r="42" spans="1:7">
      <c r="A42" s="2" t="s">
        <v>697</v>
      </c>
      <c r="B42" s="2" t="s">
        <v>51</v>
      </c>
      <c r="C42" s="3">
        <v>45220</v>
      </c>
      <c r="D42" s="2" t="s">
        <v>678</v>
      </c>
      <c r="E42" s="5">
        <v>18.399999999999999</v>
      </c>
      <c r="F42" s="7" t="s">
        <v>17</v>
      </c>
      <c r="G42" s="2" t="s">
        <v>655</v>
      </c>
    </row>
    <row r="43" spans="1:7">
      <c r="A43" s="2" t="s">
        <v>698</v>
      </c>
      <c r="B43" s="2" t="s">
        <v>353</v>
      </c>
      <c r="C43" s="3">
        <v>44967</v>
      </c>
      <c r="D43" s="2" t="s">
        <v>662</v>
      </c>
      <c r="E43" s="5">
        <v>-3</v>
      </c>
      <c r="F43" s="7">
        <v>2</v>
      </c>
      <c r="G43" s="2" t="s">
        <v>659</v>
      </c>
    </row>
    <row r="44" spans="1:7">
      <c r="A44" s="2" t="s">
        <v>699</v>
      </c>
      <c r="B44" s="2" t="s">
        <v>62</v>
      </c>
      <c r="C44" s="3">
        <v>45479</v>
      </c>
      <c r="D44" s="2" t="s">
        <v>657</v>
      </c>
      <c r="E44" s="5">
        <v>68</v>
      </c>
      <c r="F44" s="7" t="s">
        <v>17</v>
      </c>
      <c r="G44" s="2" t="s">
        <v>648</v>
      </c>
    </row>
    <row r="45" spans="1:7">
      <c r="A45" s="2" t="s">
        <v>700</v>
      </c>
      <c r="B45" s="2" t="s">
        <v>78</v>
      </c>
      <c r="C45" s="3">
        <v>45044</v>
      </c>
      <c r="D45" s="2" t="s">
        <v>650</v>
      </c>
      <c r="E45" s="5" t="s">
        <v>17</v>
      </c>
      <c r="F45" s="7">
        <v>1</v>
      </c>
      <c r="G45" s="2" t="s">
        <v>648</v>
      </c>
    </row>
    <row r="46" spans="1:7">
      <c r="A46" s="2" t="s">
        <v>701</v>
      </c>
      <c r="B46" s="2" t="s">
        <v>45</v>
      </c>
      <c r="C46" s="3">
        <v>44941</v>
      </c>
      <c r="D46" s="2" t="s">
        <v>657</v>
      </c>
      <c r="E46" s="5" t="s">
        <v>17</v>
      </c>
      <c r="F46" s="7">
        <v>1</v>
      </c>
      <c r="G46" s="2" t="s">
        <v>32</v>
      </c>
    </row>
    <row r="47" spans="1:7">
      <c r="A47" s="2" t="s">
        <v>702</v>
      </c>
      <c r="B47" s="2" t="s">
        <v>181</v>
      </c>
      <c r="C47" s="3">
        <v>45409</v>
      </c>
      <c r="D47" s="2" t="s">
        <v>657</v>
      </c>
      <c r="E47" s="5">
        <v>33.700000000000003</v>
      </c>
      <c r="F47" s="7" t="s">
        <v>17</v>
      </c>
      <c r="G47" s="2" t="s">
        <v>659</v>
      </c>
    </row>
    <row r="48" spans="1:7">
      <c r="A48" s="2" t="s">
        <v>703</v>
      </c>
      <c r="B48" s="2" t="s">
        <v>127</v>
      </c>
      <c r="C48" s="3">
        <v>45070</v>
      </c>
      <c r="D48" s="2" t="s">
        <v>668</v>
      </c>
      <c r="E48" s="5">
        <v>0</v>
      </c>
      <c r="F48" s="7">
        <v>3</v>
      </c>
      <c r="G48" s="2" t="s">
        <v>32</v>
      </c>
    </row>
    <row r="49" spans="1:7">
      <c r="A49" s="2" t="s">
        <v>704</v>
      </c>
      <c r="B49" s="2" t="s">
        <v>56</v>
      </c>
      <c r="C49" s="3">
        <v>45480</v>
      </c>
      <c r="D49" s="2" t="s">
        <v>647</v>
      </c>
      <c r="E49" s="5">
        <v>67.599999999999994</v>
      </c>
      <c r="F49" s="7">
        <v>1</v>
      </c>
      <c r="G49" s="2" t="s">
        <v>32</v>
      </c>
    </row>
    <row r="50" spans="1:7">
      <c r="A50" s="2" t="s">
        <v>705</v>
      </c>
      <c r="B50" s="2" t="s">
        <v>239</v>
      </c>
      <c r="C50" s="3">
        <v>45149</v>
      </c>
      <c r="D50" s="2" t="s">
        <v>662</v>
      </c>
      <c r="E50" s="5" t="s">
        <v>17</v>
      </c>
      <c r="F50" s="7">
        <v>1</v>
      </c>
      <c r="G50" s="2" t="s">
        <v>659</v>
      </c>
    </row>
    <row r="51" spans="1:7">
      <c r="A51" s="2" t="s">
        <v>706</v>
      </c>
      <c r="B51" s="2" t="s">
        <v>124</v>
      </c>
      <c r="C51" s="3">
        <v>45121</v>
      </c>
      <c r="D51" s="2" t="s">
        <v>662</v>
      </c>
      <c r="E51" s="5" t="s">
        <v>17</v>
      </c>
      <c r="F51" s="7">
        <v>2</v>
      </c>
      <c r="G51" s="2" t="s">
        <v>659</v>
      </c>
    </row>
    <row r="52" spans="1:7">
      <c r="A52" s="2" t="s">
        <v>707</v>
      </c>
      <c r="B52" s="2" t="s">
        <v>120</v>
      </c>
      <c r="C52" s="3">
        <v>45299</v>
      </c>
      <c r="D52" s="2" t="s">
        <v>650</v>
      </c>
      <c r="E52" s="5">
        <v>42.4</v>
      </c>
      <c r="F52" s="7" t="s">
        <v>17</v>
      </c>
      <c r="G52" s="2" t="s">
        <v>655</v>
      </c>
    </row>
    <row r="53" spans="1:7">
      <c r="A53" s="2" t="s">
        <v>708</v>
      </c>
      <c r="B53" s="2" t="s">
        <v>264</v>
      </c>
      <c r="C53" s="3">
        <v>45240</v>
      </c>
      <c r="D53" s="2" t="s">
        <v>647</v>
      </c>
      <c r="E53" s="5" t="s">
        <v>17</v>
      </c>
      <c r="F53" s="7" t="s">
        <v>17</v>
      </c>
      <c r="G53" s="2" t="s">
        <v>648</v>
      </c>
    </row>
    <row r="54" spans="1:7">
      <c r="A54" s="2" t="s">
        <v>709</v>
      </c>
      <c r="B54" s="2" t="s">
        <v>103</v>
      </c>
      <c r="C54" s="3">
        <v>45258</v>
      </c>
      <c r="D54" s="2" t="s">
        <v>647</v>
      </c>
      <c r="E54" s="5">
        <v>0</v>
      </c>
      <c r="F54" s="7" t="s">
        <v>17</v>
      </c>
      <c r="G54" s="2" t="s">
        <v>74</v>
      </c>
    </row>
    <row r="55" spans="1:7">
      <c r="A55" s="2" t="s">
        <v>710</v>
      </c>
      <c r="B55" s="2" t="s">
        <v>65</v>
      </c>
      <c r="C55" s="3">
        <v>45038</v>
      </c>
      <c r="D55" s="2" t="s">
        <v>657</v>
      </c>
      <c r="E55" s="5">
        <v>47.6</v>
      </c>
      <c r="F55" s="7">
        <v>4</v>
      </c>
      <c r="G55" s="2" t="s">
        <v>32</v>
      </c>
    </row>
    <row r="56" spans="1:7">
      <c r="A56" s="2" t="s">
        <v>711</v>
      </c>
      <c r="B56" s="2" t="s">
        <v>122</v>
      </c>
      <c r="C56" s="3">
        <v>44989</v>
      </c>
      <c r="D56" s="2" t="s">
        <v>712</v>
      </c>
      <c r="E56" s="5" t="s">
        <v>17</v>
      </c>
      <c r="F56" s="7">
        <v>5</v>
      </c>
      <c r="G56" s="2" t="s">
        <v>659</v>
      </c>
    </row>
    <row r="57" spans="1:7">
      <c r="A57" s="2" t="s">
        <v>713</v>
      </c>
      <c r="B57" s="2" t="s">
        <v>233</v>
      </c>
      <c r="C57" s="3">
        <v>45056</v>
      </c>
      <c r="D57" s="2" t="s">
        <v>657</v>
      </c>
      <c r="E57" s="5">
        <v>-3</v>
      </c>
      <c r="F57" s="7">
        <v>1</v>
      </c>
      <c r="G57" s="2" t="s">
        <v>648</v>
      </c>
    </row>
    <row r="58" spans="1:7">
      <c r="A58" s="2" t="s">
        <v>714</v>
      </c>
      <c r="B58" s="2" t="s">
        <v>131</v>
      </c>
      <c r="C58" s="3">
        <v>45044</v>
      </c>
      <c r="D58" s="2" t="s">
        <v>712</v>
      </c>
      <c r="E58" s="5">
        <v>16.8</v>
      </c>
      <c r="F58" s="7">
        <v>3</v>
      </c>
      <c r="G58" s="2" t="s">
        <v>659</v>
      </c>
    </row>
    <row r="59" spans="1:7">
      <c r="A59" s="2" t="s">
        <v>715</v>
      </c>
      <c r="B59" s="2" t="s">
        <v>155</v>
      </c>
      <c r="C59" s="3">
        <v>45188</v>
      </c>
      <c r="D59" s="2" t="s">
        <v>647</v>
      </c>
      <c r="E59" s="5" t="s">
        <v>17</v>
      </c>
      <c r="F59" s="7" t="s">
        <v>17</v>
      </c>
      <c r="G59" s="2" t="s">
        <v>659</v>
      </c>
    </row>
    <row r="60" spans="1:7">
      <c r="A60" s="2" t="s">
        <v>716</v>
      </c>
      <c r="B60" s="2" t="s">
        <v>140</v>
      </c>
      <c r="C60" s="3">
        <v>44988</v>
      </c>
      <c r="D60" s="2" t="s">
        <v>650</v>
      </c>
      <c r="E60" s="5">
        <v>29.9</v>
      </c>
      <c r="F60" s="7">
        <v>3</v>
      </c>
      <c r="G60" s="2" t="s">
        <v>655</v>
      </c>
    </row>
    <row r="61" spans="1:7">
      <c r="A61" s="2" t="s">
        <v>717</v>
      </c>
      <c r="B61" s="2" t="s">
        <v>205</v>
      </c>
      <c r="C61" s="3">
        <v>45287</v>
      </c>
      <c r="D61" s="2" t="s">
        <v>657</v>
      </c>
      <c r="E61" s="5" t="s">
        <v>17</v>
      </c>
      <c r="F61" s="7">
        <v>1</v>
      </c>
      <c r="G61" s="2" t="s">
        <v>648</v>
      </c>
    </row>
    <row r="62" spans="1:7">
      <c r="A62" s="2" t="s">
        <v>718</v>
      </c>
      <c r="B62" s="2" t="s">
        <v>124</v>
      </c>
      <c r="C62" s="3">
        <v>45573</v>
      </c>
      <c r="D62" s="2" t="s">
        <v>712</v>
      </c>
      <c r="E62" s="5">
        <v>60.9</v>
      </c>
      <c r="F62" s="7">
        <v>5</v>
      </c>
      <c r="G62" s="2" t="s">
        <v>32</v>
      </c>
    </row>
    <row r="63" spans="1:7">
      <c r="A63" s="2" t="s">
        <v>719</v>
      </c>
      <c r="B63" s="2" t="s">
        <v>90</v>
      </c>
      <c r="C63" s="3">
        <v>45200</v>
      </c>
      <c r="D63" s="2" t="s">
        <v>647</v>
      </c>
      <c r="E63" s="5">
        <v>66.400000000000006</v>
      </c>
      <c r="F63" s="7">
        <v>5</v>
      </c>
      <c r="G63" s="2" t="s">
        <v>32</v>
      </c>
    </row>
    <row r="64" spans="1:7">
      <c r="A64" s="2" t="s">
        <v>720</v>
      </c>
      <c r="B64" s="2" t="s">
        <v>45</v>
      </c>
      <c r="C64" s="3">
        <v>44998</v>
      </c>
      <c r="D64" s="2" t="s">
        <v>668</v>
      </c>
      <c r="E64" s="5">
        <v>11.8</v>
      </c>
      <c r="F64" s="7" t="s">
        <v>17</v>
      </c>
      <c r="G64" s="2" t="s">
        <v>74</v>
      </c>
    </row>
    <row r="65" spans="1:7">
      <c r="A65" s="2" t="s">
        <v>721</v>
      </c>
      <c r="B65" s="2" t="s">
        <v>101</v>
      </c>
      <c r="C65" s="3">
        <v>45508</v>
      </c>
      <c r="D65" s="2" t="s">
        <v>668</v>
      </c>
      <c r="E65" s="5">
        <v>-3</v>
      </c>
      <c r="F65" s="7">
        <v>4</v>
      </c>
      <c r="G65" s="2" t="s">
        <v>655</v>
      </c>
    </row>
    <row r="66" spans="1:7">
      <c r="A66" s="2" t="s">
        <v>722</v>
      </c>
      <c r="B66" s="2" t="s">
        <v>496</v>
      </c>
      <c r="C66" s="3">
        <v>45351</v>
      </c>
      <c r="D66" s="2" t="s">
        <v>652</v>
      </c>
      <c r="E66" s="5">
        <v>0</v>
      </c>
      <c r="F66" s="7">
        <v>5</v>
      </c>
      <c r="G66" s="2" t="s">
        <v>32</v>
      </c>
    </row>
    <row r="67" spans="1:7">
      <c r="A67" s="2" t="s">
        <v>723</v>
      </c>
      <c r="B67" s="2" t="s">
        <v>205</v>
      </c>
      <c r="C67" s="3">
        <v>44973</v>
      </c>
      <c r="D67" s="2" t="s">
        <v>712</v>
      </c>
      <c r="E67" s="5">
        <v>55.4</v>
      </c>
      <c r="F67" s="7">
        <v>3</v>
      </c>
      <c r="G67" s="2" t="s">
        <v>74</v>
      </c>
    </row>
    <row r="68" spans="1:7">
      <c r="A68" s="2" t="s">
        <v>724</v>
      </c>
      <c r="B68" s="2" t="s">
        <v>127</v>
      </c>
      <c r="C68" s="3">
        <v>44934</v>
      </c>
      <c r="D68" s="2" t="s">
        <v>712</v>
      </c>
      <c r="E68" s="5" t="s">
        <v>17</v>
      </c>
      <c r="F68" s="7">
        <v>1</v>
      </c>
      <c r="G68" s="2" t="s">
        <v>659</v>
      </c>
    </row>
    <row r="69" spans="1:7">
      <c r="A69" s="2" t="s">
        <v>725</v>
      </c>
      <c r="B69" s="2" t="s">
        <v>30</v>
      </c>
      <c r="C69" s="3">
        <v>44970</v>
      </c>
      <c r="D69" s="2" t="s">
        <v>668</v>
      </c>
      <c r="E69" s="5">
        <v>-3</v>
      </c>
      <c r="F69" s="7">
        <v>3</v>
      </c>
      <c r="G69" s="2" t="s">
        <v>655</v>
      </c>
    </row>
    <row r="70" spans="1:7">
      <c r="A70" s="2" t="s">
        <v>726</v>
      </c>
      <c r="B70" s="2" t="s">
        <v>45</v>
      </c>
      <c r="C70" s="3">
        <v>44948</v>
      </c>
      <c r="D70" s="2" t="s">
        <v>647</v>
      </c>
      <c r="E70" s="5">
        <v>44.7</v>
      </c>
      <c r="F70" s="7">
        <v>2</v>
      </c>
      <c r="G70" s="2" t="s">
        <v>659</v>
      </c>
    </row>
    <row r="71" spans="1:7">
      <c r="A71" s="2" t="s">
        <v>727</v>
      </c>
      <c r="B71" s="2" t="s">
        <v>158</v>
      </c>
      <c r="C71" s="3">
        <v>45337</v>
      </c>
      <c r="D71" s="2" t="s">
        <v>712</v>
      </c>
      <c r="E71" s="5">
        <v>53.8</v>
      </c>
      <c r="F71" s="7">
        <v>5</v>
      </c>
      <c r="G71" s="2" t="s">
        <v>655</v>
      </c>
    </row>
    <row r="72" spans="1:7">
      <c r="A72" s="2" t="s">
        <v>728</v>
      </c>
      <c r="B72" s="2" t="s">
        <v>59</v>
      </c>
      <c r="C72" s="3">
        <v>45284</v>
      </c>
      <c r="D72" s="2" t="s">
        <v>647</v>
      </c>
      <c r="E72" s="5">
        <v>11</v>
      </c>
      <c r="F72" s="7">
        <v>2</v>
      </c>
      <c r="G72" s="2" t="s">
        <v>648</v>
      </c>
    </row>
    <row r="73" spans="1:7">
      <c r="A73" s="2" t="s">
        <v>729</v>
      </c>
      <c r="B73" s="2" t="s">
        <v>153</v>
      </c>
      <c r="C73" s="3">
        <v>45432</v>
      </c>
      <c r="D73" s="2" t="s">
        <v>662</v>
      </c>
      <c r="E73" s="5" t="s">
        <v>17</v>
      </c>
      <c r="F73" s="7">
        <v>2</v>
      </c>
      <c r="G73" s="2" t="s">
        <v>659</v>
      </c>
    </row>
    <row r="74" spans="1:7">
      <c r="A74" s="2" t="s">
        <v>730</v>
      </c>
      <c r="B74" s="2" t="s">
        <v>233</v>
      </c>
      <c r="C74" s="3">
        <v>45407</v>
      </c>
      <c r="D74" s="2" t="s">
        <v>673</v>
      </c>
      <c r="E74" s="5">
        <v>57.4</v>
      </c>
      <c r="F74" s="7">
        <v>1</v>
      </c>
      <c r="G74" s="2" t="s">
        <v>74</v>
      </c>
    </row>
    <row r="75" spans="1:7">
      <c r="A75" s="2" t="s">
        <v>731</v>
      </c>
      <c r="B75" s="2" t="s">
        <v>90</v>
      </c>
      <c r="C75" s="3">
        <v>45220</v>
      </c>
      <c r="D75" s="2" t="s">
        <v>650</v>
      </c>
      <c r="E75" s="5">
        <v>44.5</v>
      </c>
      <c r="F75" s="7">
        <v>4</v>
      </c>
      <c r="G75" s="2" t="s">
        <v>648</v>
      </c>
    </row>
    <row r="76" spans="1:7">
      <c r="A76" s="2" t="s">
        <v>732</v>
      </c>
      <c r="B76" s="2" t="s">
        <v>111</v>
      </c>
      <c r="C76" s="3">
        <v>45119</v>
      </c>
      <c r="D76" s="2" t="s">
        <v>662</v>
      </c>
      <c r="E76" s="5">
        <v>69</v>
      </c>
      <c r="F76" s="7">
        <v>5</v>
      </c>
      <c r="G76" s="2" t="s">
        <v>32</v>
      </c>
    </row>
    <row r="77" spans="1:7">
      <c r="A77" s="2" t="s">
        <v>733</v>
      </c>
      <c r="B77" s="2" t="s">
        <v>35</v>
      </c>
      <c r="C77" s="3">
        <v>45201</v>
      </c>
      <c r="D77" s="2" t="s">
        <v>662</v>
      </c>
      <c r="E77" s="5">
        <v>-3</v>
      </c>
      <c r="F77" s="7">
        <v>4</v>
      </c>
      <c r="G77" s="2" t="s">
        <v>648</v>
      </c>
    </row>
    <row r="78" spans="1:7">
      <c r="A78" s="2" t="s">
        <v>734</v>
      </c>
      <c r="B78" s="2" t="s">
        <v>78</v>
      </c>
      <c r="C78" s="3">
        <v>44980</v>
      </c>
      <c r="D78" s="2" t="s">
        <v>650</v>
      </c>
      <c r="E78" s="5">
        <v>28.1</v>
      </c>
      <c r="F78" s="7">
        <v>3</v>
      </c>
      <c r="G78" s="2" t="s">
        <v>655</v>
      </c>
    </row>
    <row r="79" spans="1:7">
      <c r="A79" s="2" t="s">
        <v>735</v>
      </c>
      <c r="B79" s="2" t="s">
        <v>158</v>
      </c>
      <c r="C79" s="3">
        <v>45071</v>
      </c>
      <c r="D79" s="2" t="s">
        <v>673</v>
      </c>
      <c r="E79" s="5">
        <v>67.599999999999994</v>
      </c>
      <c r="F79" s="7">
        <v>5</v>
      </c>
      <c r="G79" s="2" t="s">
        <v>659</v>
      </c>
    </row>
    <row r="80" spans="1:7">
      <c r="A80" s="2" t="s">
        <v>736</v>
      </c>
      <c r="B80" s="2" t="s">
        <v>40</v>
      </c>
      <c r="C80" s="3">
        <v>44997</v>
      </c>
      <c r="D80" s="2" t="s">
        <v>657</v>
      </c>
      <c r="E80" s="5">
        <v>1.8</v>
      </c>
      <c r="F80" s="7">
        <v>3</v>
      </c>
      <c r="G80" s="2" t="s">
        <v>648</v>
      </c>
    </row>
    <row r="81" spans="1:7">
      <c r="A81" s="2" t="s">
        <v>737</v>
      </c>
      <c r="B81" s="2" t="s">
        <v>51</v>
      </c>
      <c r="C81" s="3">
        <v>45123</v>
      </c>
      <c r="D81" s="2" t="s">
        <v>647</v>
      </c>
      <c r="E81" s="5">
        <v>11.6</v>
      </c>
      <c r="F81" s="7" t="s">
        <v>17</v>
      </c>
      <c r="G81" s="2" t="s">
        <v>74</v>
      </c>
    </row>
    <row r="82" spans="1:7">
      <c r="A82" s="2" t="s">
        <v>738</v>
      </c>
      <c r="B82" s="2" t="s">
        <v>96</v>
      </c>
      <c r="C82" s="3">
        <v>45061</v>
      </c>
      <c r="D82" s="2" t="s">
        <v>647</v>
      </c>
      <c r="E82" s="5">
        <v>0</v>
      </c>
      <c r="F82" s="7">
        <v>1</v>
      </c>
      <c r="G82" s="2" t="s">
        <v>659</v>
      </c>
    </row>
    <row r="83" spans="1:7">
      <c r="A83" s="2" t="s">
        <v>739</v>
      </c>
      <c r="B83" s="2" t="s">
        <v>239</v>
      </c>
      <c r="C83" s="3">
        <v>45170</v>
      </c>
      <c r="D83" s="2" t="s">
        <v>673</v>
      </c>
      <c r="E83" s="5">
        <v>0</v>
      </c>
      <c r="F83" s="7" t="s">
        <v>17</v>
      </c>
      <c r="G83" s="2" t="s">
        <v>659</v>
      </c>
    </row>
    <row r="84" spans="1:7">
      <c r="A84" s="2" t="s">
        <v>740</v>
      </c>
      <c r="B84" s="2" t="s">
        <v>239</v>
      </c>
      <c r="C84" s="3">
        <v>45511</v>
      </c>
      <c r="D84" s="2" t="s">
        <v>662</v>
      </c>
      <c r="E84" s="5">
        <v>30.4</v>
      </c>
      <c r="F84" s="7" t="s">
        <v>17</v>
      </c>
      <c r="G84" s="2" t="s">
        <v>655</v>
      </c>
    </row>
    <row r="85" spans="1:7">
      <c r="A85" s="2" t="s">
        <v>741</v>
      </c>
      <c r="B85" s="2" t="s">
        <v>62</v>
      </c>
      <c r="C85" s="3">
        <v>45183</v>
      </c>
      <c r="D85" s="2" t="s">
        <v>662</v>
      </c>
      <c r="E85" s="5">
        <v>61.4</v>
      </c>
      <c r="F85" s="7">
        <v>1</v>
      </c>
      <c r="G85" s="2" t="s">
        <v>648</v>
      </c>
    </row>
    <row r="86" spans="1:7">
      <c r="A86" s="2" t="s">
        <v>742</v>
      </c>
      <c r="B86" s="2" t="s">
        <v>170</v>
      </c>
      <c r="C86" s="3">
        <v>45206</v>
      </c>
      <c r="D86" s="2" t="s">
        <v>657</v>
      </c>
      <c r="E86" s="5" t="s">
        <v>17</v>
      </c>
      <c r="F86" s="7">
        <v>1</v>
      </c>
      <c r="G86" s="2" t="s">
        <v>659</v>
      </c>
    </row>
    <row r="87" spans="1:7">
      <c r="A87" s="2" t="s">
        <v>743</v>
      </c>
      <c r="B87" s="2" t="s">
        <v>114</v>
      </c>
      <c r="C87" s="3">
        <v>45332</v>
      </c>
      <c r="D87" s="2" t="s">
        <v>652</v>
      </c>
      <c r="E87" s="5" t="s">
        <v>17</v>
      </c>
      <c r="F87" s="7" t="s">
        <v>17</v>
      </c>
      <c r="G87" s="2" t="s">
        <v>659</v>
      </c>
    </row>
    <row r="88" spans="1:7">
      <c r="A88" s="2" t="s">
        <v>744</v>
      </c>
      <c r="B88" s="2" t="s">
        <v>62</v>
      </c>
      <c r="C88" s="3">
        <v>44966</v>
      </c>
      <c r="D88" s="2" t="s">
        <v>662</v>
      </c>
      <c r="E88" s="5">
        <v>10.4</v>
      </c>
      <c r="F88" s="7">
        <v>1</v>
      </c>
      <c r="G88" s="2" t="s">
        <v>74</v>
      </c>
    </row>
    <row r="89" spans="1:7">
      <c r="A89" s="2" t="s">
        <v>745</v>
      </c>
      <c r="B89" s="2" t="s">
        <v>106</v>
      </c>
      <c r="C89" s="3">
        <v>45080</v>
      </c>
      <c r="D89" s="2" t="s">
        <v>650</v>
      </c>
      <c r="E89" s="5">
        <v>0</v>
      </c>
      <c r="F89" s="7">
        <v>1</v>
      </c>
      <c r="G89" s="2" t="s">
        <v>655</v>
      </c>
    </row>
    <row r="90" spans="1:7">
      <c r="A90" s="2" t="s">
        <v>746</v>
      </c>
      <c r="B90" s="2" t="s">
        <v>90</v>
      </c>
      <c r="C90" s="3">
        <v>45438</v>
      </c>
      <c r="D90" s="2" t="s">
        <v>657</v>
      </c>
      <c r="E90" s="5">
        <v>-3</v>
      </c>
      <c r="F90" s="7">
        <v>2</v>
      </c>
      <c r="G90" s="2" t="s">
        <v>32</v>
      </c>
    </row>
    <row r="91" spans="1:7">
      <c r="A91" s="2" t="s">
        <v>747</v>
      </c>
      <c r="B91" s="2" t="s">
        <v>14</v>
      </c>
      <c r="C91" s="3">
        <v>45014</v>
      </c>
      <c r="D91" s="2" t="s">
        <v>650</v>
      </c>
      <c r="E91" s="5">
        <v>0</v>
      </c>
      <c r="F91" s="7">
        <v>1</v>
      </c>
      <c r="G91" s="2" t="s">
        <v>32</v>
      </c>
    </row>
    <row r="92" spans="1:7">
      <c r="A92" s="4" t="s">
        <v>748</v>
      </c>
      <c r="B92" s="4" t="s">
        <v>749</v>
      </c>
      <c r="C92" s="10">
        <v>45057</v>
      </c>
      <c r="D92" s="4" t="s">
        <v>673</v>
      </c>
      <c r="E92" s="6">
        <v>5</v>
      </c>
      <c r="F92" s="8">
        <v>3</v>
      </c>
      <c r="G92" s="4" t="s">
        <v>659</v>
      </c>
    </row>
    <row r="93" spans="1:7">
      <c r="A93" s="4" t="s">
        <v>750</v>
      </c>
      <c r="B93" s="4" t="s">
        <v>751</v>
      </c>
      <c r="C93" s="10">
        <v>45121</v>
      </c>
      <c r="D93" s="4" t="s">
        <v>652</v>
      </c>
      <c r="E93" s="6" t="s">
        <v>17</v>
      </c>
      <c r="F93" s="8" t="s">
        <v>17</v>
      </c>
      <c r="G93" s="4" t="s">
        <v>655</v>
      </c>
    </row>
  </sheetData>
  <autoFilter ref="A1:G93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2127-AC82-449C-93F7-39D643509829}">
  <dimension ref="A1:R253"/>
  <sheetViews>
    <sheetView workbookViewId="0">
      <selection activeCell="Q18" sqref="Q18"/>
    </sheetView>
  </sheetViews>
  <sheetFormatPr defaultRowHeight="15"/>
  <cols>
    <col min="2" max="2" width="11.42578125" bestFit="1" customWidth="1"/>
    <col min="3" max="3" width="28" customWidth="1"/>
    <col min="4" max="4" width="11" customWidth="1"/>
    <col min="5" max="5" width="19" customWidth="1"/>
    <col min="6" max="6" width="20" bestFit="1" customWidth="1"/>
    <col min="9" max="9" width="21" bestFit="1" customWidth="1"/>
    <col min="10" max="10" width="9.7109375" bestFit="1" customWidth="1"/>
    <col min="11" max="11" width="7.42578125" bestFit="1" customWidth="1"/>
    <col min="12" max="12" width="7.7109375" bestFit="1" customWidth="1"/>
    <col min="13" max="13" width="7.42578125" bestFit="1" customWidth="1"/>
    <col min="14" max="14" width="8.28515625" bestFit="1" customWidth="1"/>
    <col min="15" max="15" width="7.42578125" bestFit="1" customWidth="1"/>
    <col min="16" max="16" width="8.28515625" bestFit="1" customWidth="1"/>
    <col min="17" max="17" width="7.42578125" bestFit="1" customWidth="1"/>
    <col min="18" max="18" width="11.7109375" bestFit="1" customWidth="1"/>
    <col min="19" max="19" width="9.5703125" bestFit="1" customWidth="1"/>
    <col min="20" max="20" width="12.7109375" bestFit="1" customWidth="1"/>
    <col min="21" max="21" width="15.28515625" bestFit="1" customWidth="1"/>
    <col min="22" max="22" width="18.7109375" bestFit="1" customWidth="1"/>
    <col min="23" max="23" width="7.85546875" bestFit="1" customWidth="1"/>
    <col min="24" max="24" width="11.140625" bestFit="1" customWidth="1"/>
    <col min="25" max="25" width="9.85546875" bestFit="1" customWidth="1"/>
    <col min="26" max="26" width="7.42578125" bestFit="1" customWidth="1"/>
    <col min="27" max="27" width="13" bestFit="1" customWidth="1"/>
    <col min="28" max="28" width="12.5703125" bestFit="1" customWidth="1"/>
    <col min="29" max="29" width="15.85546875" bestFit="1" customWidth="1"/>
    <col min="30" max="30" width="11.7109375" bestFit="1" customWidth="1"/>
  </cols>
  <sheetData>
    <row r="1" spans="1:18" s="14" customFormat="1" ht="98.25" customHeight="1">
      <c r="A1" s="15" t="s">
        <v>752</v>
      </c>
    </row>
    <row r="4" spans="1:18">
      <c r="B4" s="1" t="s">
        <v>3</v>
      </c>
      <c r="C4" s="1" t="s">
        <v>596</v>
      </c>
      <c r="D4" s="1" t="s">
        <v>623</v>
      </c>
      <c r="E4" s="1" t="s">
        <v>12</v>
      </c>
      <c r="F4" s="1" t="s">
        <v>8</v>
      </c>
    </row>
    <row r="5" spans="1:18">
      <c r="B5" s="2" t="s">
        <v>15</v>
      </c>
      <c r="C5" t="str">
        <f>_xlfn.XLOOKUP(B5,Products!$A$2:$A$251,Products!$C$2:$C$251)</f>
        <v>Analytics AI</v>
      </c>
      <c r="D5" t="str">
        <f>_xlfn.XLOOKUP(B5,Sales_Transactions!D$2:D$251,Sales_Transactions!E$2:E$251)</f>
        <v>REP-07</v>
      </c>
      <c r="E5" s="5" t="s">
        <v>17</v>
      </c>
      <c r="F5" s="2" t="s">
        <v>18</v>
      </c>
      <c r="I5" s="12" t="s">
        <v>753</v>
      </c>
      <c r="J5" s="12" t="s">
        <v>623</v>
      </c>
    </row>
    <row r="6" spans="1:18">
      <c r="B6" s="2" t="s">
        <v>24</v>
      </c>
      <c r="C6" t="str">
        <f>_xlfn.XLOOKUP(B6,Products!$A$2:$A$251,Products!$C$2:$C$251)</f>
        <v>Conversational AI</v>
      </c>
      <c r="D6" t="str">
        <f>_xlfn.XLOOKUP(B6,Sales_Transactions!D$2:D$251,Sales_Transactions!E$2:E$251)</f>
        <v>REP-04</v>
      </c>
      <c r="E6" s="5">
        <v>640</v>
      </c>
      <c r="F6" s="2" t="s">
        <v>26</v>
      </c>
      <c r="I6" s="12" t="s">
        <v>8</v>
      </c>
      <c r="J6" t="s">
        <v>37</v>
      </c>
      <c r="K6" t="s">
        <v>42</v>
      </c>
      <c r="L6" t="s">
        <v>53</v>
      </c>
      <c r="M6" t="s">
        <v>25</v>
      </c>
      <c r="N6" t="s">
        <v>16</v>
      </c>
      <c r="O6" t="s">
        <v>69</v>
      </c>
      <c r="P6" t="s">
        <v>73</v>
      </c>
      <c r="Q6" t="s">
        <v>46</v>
      </c>
      <c r="R6" t="s">
        <v>754</v>
      </c>
    </row>
    <row r="7" spans="1:18">
      <c r="B7" s="2" t="s">
        <v>31</v>
      </c>
      <c r="C7" t="str">
        <f>_xlfn.XLOOKUP(B7,Products!$A$2:$A$251,Products!$C$2:$C$251)</f>
        <v>Sales AI</v>
      </c>
      <c r="D7" t="str">
        <f>_xlfn.XLOOKUP(B7,Sales_Transactions!D$2:D$251,Sales_Transactions!E$2:E$251)</f>
        <v>REP-04</v>
      </c>
      <c r="E7" s="5" t="s">
        <v>17</v>
      </c>
      <c r="F7" s="2" t="s">
        <v>17</v>
      </c>
      <c r="I7" t="s">
        <v>18</v>
      </c>
      <c r="J7" s="13">
        <v>0</v>
      </c>
      <c r="K7" s="13">
        <v>8850</v>
      </c>
      <c r="L7" s="13">
        <v>22790</v>
      </c>
      <c r="M7" s="13">
        <v>8360</v>
      </c>
      <c r="N7" s="13">
        <v>4812.5</v>
      </c>
      <c r="O7" s="13">
        <v>24125</v>
      </c>
      <c r="P7" s="13">
        <v>8835</v>
      </c>
      <c r="Q7" s="13">
        <v>12400</v>
      </c>
      <c r="R7" s="13">
        <v>90172.5</v>
      </c>
    </row>
    <row r="8" spans="1:18">
      <c r="B8" s="2" t="s">
        <v>36</v>
      </c>
      <c r="C8" t="str">
        <f>_xlfn.XLOOKUP(B8,Products!$A$2:$A$251,Products!$C$2:$C$251)</f>
        <v>Conversational AI</v>
      </c>
      <c r="D8" t="str">
        <f>_xlfn.XLOOKUP(B8,Sales_Transactions!D$2:D$251,Sales_Transactions!E$2:E$251)</f>
        <v>REP-01</v>
      </c>
      <c r="E8" s="5">
        <v>0</v>
      </c>
      <c r="F8" s="2" t="s">
        <v>17</v>
      </c>
      <c r="I8" t="s">
        <v>60</v>
      </c>
      <c r="J8" s="13">
        <v>2145</v>
      </c>
      <c r="K8" s="13">
        <v>35250</v>
      </c>
      <c r="L8" s="13">
        <v>16150</v>
      </c>
      <c r="M8" s="13">
        <v>4000</v>
      </c>
      <c r="N8" s="13">
        <v>11375</v>
      </c>
      <c r="O8" s="13">
        <v>2905</v>
      </c>
      <c r="P8" s="13">
        <v>8512.5</v>
      </c>
      <c r="Q8" s="13">
        <v>4800</v>
      </c>
      <c r="R8" s="13">
        <v>85137.5</v>
      </c>
    </row>
    <row r="9" spans="1:18">
      <c r="B9" s="2" t="s">
        <v>41</v>
      </c>
      <c r="C9" t="str">
        <f>_xlfn.XLOOKUP(B9,Products!$A$2:$A$251,Products!$C$2:$C$251)</f>
        <v>Conversational AI</v>
      </c>
      <c r="D9" t="str">
        <f>_xlfn.XLOOKUP(B9,Sales_Transactions!D$2:D$251,Sales_Transactions!E$2:E$251)</f>
        <v>REP-02</v>
      </c>
      <c r="E9" s="5">
        <v>2850</v>
      </c>
      <c r="F9" s="2" t="s">
        <v>18</v>
      </c>
      <c r="I9" t="s">
        <v>54</v>
      </c>
      <c r="J9" s="13">
        <v>4180</v>
      </c>
      <c r="K9" s="13">
        <v>0</v>
      </c>
      <c r="L9" s="13">
        <v>34240</v>
      </c>
      <c r="M9" s="13">
        <v>3780</v>
      </c>
      <c r="N9" s="13">
        <v>2975</v>
      </c>
      <c r="O9" s="13">
        <v>3180</v>
      </c>
      <c r="P9" s="13">
        <v>15580</v>
      </c>
      <c r="Q9" s="13">
        <v>-1600</v>
      </c>
      <c r="R9" s="13">
        <v>62335</v>
      </c>
    </row>
    <row r="10" spans="1:18">
      <c r="B10" s="2" t="s">
        <v>36</v>
      </c>
      <c r="C10" t="str">
        <f>_xlfn.XLOOKUP(B10,Products!$A$2:$A$251,Products!$C$2:$C$251)</f>
        <v>Conversational AI</v>
      </c>
      <c r="D10" t="str">
        <f>_xlfn.XLOOKUP(B10,Sales_Transactions!D$2:D$251,Sales_Transactions!E$2:E$251)</f>
        <v>REP-01</v>
      </c>
      <c r="E10" s="5">
        <v>5225</v>
      </c>
      <c r="F10" s="2" t="s">
        <v>17</v>
      </c>
      <c r="I10" t="s">
        <v>98</v>
      </c>
      <c r="J10" s="13">
        <v>2805</v>
      </c>
      <c r="K10" s="13">
        <v>13875</v>
      </c>
      <c r="L10" s="13">
        <v>8990</v>
      </c>
      <c r="M10" s="13">
        <v>6160</v>
      </c>
      <c r="N10" s="13">
        <v>7875</v>
      </c>
      <c r="O10" s="13">
        <v>15480</v>
      </c>
      <c r="P10" s="13">
        <v>14350</v>
      </c>
      <c r="Q10" s="13">
        <v>34900</v>
      </c>
      <c r="R10" s="13">
        <v>104435</v>
      </c>
    </row>
    <row r="11" spans="1:18">
      <c r="B11" s="2" t="s">
        <v>52</v>
      </c>
      <c r="C11" t="str">
        <f>_xlfn.XLOOKUP(B11,Products!$A$2:$A$251,Products!$C$2:$C$251)</f>
        <v>Security AI</v>
      </c>
      <c r="D11" t="str">
        <f>_xlfn.XLOOKUP(B11,Sales_Transactions!D$2:D$251,Sales_Transactions!E$2:E$251)</f>
        <v>REP-03</v>
      </c>
      <c r="E11" s="5">
        <v>5415</v>
      </c>
      <c r="F11" s="2" t="s">
        <v>54</v>
      </c>
      <c r="I11" t="s">
        <v>17</v>
      </c>
      <c r="J11" s="13">
        <v>15675</v>
      </c>
      <c r="K11" s="13">
        <v>0</v>
      </c>
      <c r="L11" s="13">
        <v>3135</v>
      </c>
      <c r="M11" s="13">
        <v>1320</v>
      </c>
      <c r="N11" s="13">
        <v>5950</v>
      </c>
      <c r="O11" s="13">
        <v>11070</v>
      </c>
      <c r="P11" s="13">
        <v>4100</v>
      </c>
      <c r="Q11" s="13">
        <v>6100</v>
      </c>
      <c r="R11" s="13">
        <v>47350</v>
      </c>
    </row>
    <row r="12" spans="1:18">
      <c r="B12" s="2" t="s">
        <v>57</v>
      </c>
      <c r="C12" t="str">
        <f>_xlfn.XLOOKUP(B12,Products!$A$2:$A$251,Products!$C$2:$C$251)</f>
        <v>Data AI</v>
      </c>
      <c r="D12" t="str">
        <f>_xlfn.XLOOKUP(B12,Sales_Transactions!D$2:D$251,Sales_Transactions!E$2:E$251)</f>
        <v>REP-12</v>
      </c>
      <c r="E12" s="5" t="s">
        <v>17</v>
      </c>
      <c r="F12" s="2" t="s">
        <v>54</v>
      </c>
      <c r="I12" t="s">
        <v>26</v>
      </c>
      <c r="J12" s="13">
        <v>18260</v>
      </c>
      <c r="K12" s="13">
        <v>1575</v>
      </c>
      <c r="L12" s="13">
        <v>71040</v>
      </c>
      <c r="M12" s="13">
        <v>15720</v>
      </c>
      <c r="N12" s="13">
        <v>6300</v>
      </c>
      <c r="O12" s="13">
        <v>18375</v>
      </c>
      <c r="P12" s="13">
        <v>1825</v>
      </c>
      <c r="Q12" s="13">
        <v>0</v>
      </c>
      <c r="R12" s="13">
        <v>133095</v>
      </c>
    </row>
    <row r="13" spans="1:18">
      <c r="B13" s="2" t="s">
        <v>52</v>
      </c>
      <c r="C13" t="str">
        <f>_xlfn.XLOOKUP(B13,Products!$A$2:$A$251,Products!$C$2:$C$251)</f>
        <v>Security AI</v>
      </c>
      <c r="D13" t="str">
        <f>_xlfn.XLOOKUP(B13,Sales_Transactions!D$2:D$251,Sales_Transactions!E$2:E$251)</f>
        <v>REP-03</v>
      </c>
      <c r="E13" s="5">
        <v>16150</v>
      </c>
      <c r="F13" s="2" t="s">
        <v>60</v>
      </c>
      <c r="I13" t="s">
        <v>754</v>
      </c>
      <c r="J13" s="13">
        <v>43065</v>
      </c>
      <c r="K13" s="13">
        <v>59550</v>
      </c>
      <c r="L13" s="13">
        <v>156345</v>
      </c>
      <c r="M13" s="13">
        <v>39340</v>
      </c>
      <c r="N13" s="13">
        <v>39287.5</v>
      </c>
      <c r="O13" s="13">
        <v>75135</v>
      </c>
      <c r="P13" s="13">
        <v>53202.5</v>
      </c>
      <c r="Q13" s="13">
        <v>56600</v>
      </c>
      <c r="R13" s="13">
        <v>522525</v>
      </c>
    </row>
    <row r="14" spans="1:18">
      <c r="B14" s="2" t="s">
        <v>63</v>
      </c>
      <c r="C14" t="str">
        <f>_xlfn.XLOOKUP(B14,Products!$A$2:$A$251,Products!$C$2:$C$251)</f>
        <v>Computer Vision</v>
      </c>
      <c r="D14" t="str">
        <f>_xlfn.XLOOKUP(B14,Sales_Transactions!D$2:D$251,Sales_Transactions!E$2:E$251)</f>
        <v>REP-03</v>
      </c>
      <c r="E14" s="5" t="s">
        <v>17</v>
      </c>
      <c r="F14" s="2" t="s">
        <v>54</v>
      </c>
    </row>
    <row r="15" spans="1:18">
      <c r="B15" s="2" t="s">
        <v>36</v>
      </c>
      <c r="C15" t="str">
        <f>_xlfn.XLOOKUP(B15,Products!$A$2:$A$251,Products!$C$2:$C$251)</f>
        <v>Conversational AI</v>
      </c>
      <c r="D15" t="str">
        <f>_xlfn.XLOOKUP(B15,Sales_Transactions!D$2:D$251,Sales_Transactions!E$2:E$251)</f>
        <v>REP-01</v>
      </c>
      <c r="E15" s="5">
        <v>4180</v>
      </c>
      <c r="F15" s="2" t="s">
        <v>26</v>
      </c>
    </row>
    <row r="16" spans="1:18">
      <c r="B16" s="2" t="s">
        <v>68</v>
      </c>
      <c r="C16" t="str">
        <f>_xlfn.XLOOKUP(B16,Products!$A$2:$A$251,Products!$C$2:$C$251)</f>
        <v>Sales AI</v>
      </c>
      <c r="D16" t="str">
        <f>_xlfn.XLOOKUP(B16,Sales_Transactions!D$2:D$251,Sales_Transactions!E$2:E$251)</f>
        <v>REP-09</v>
      </c>
      <c r="E16" s="5">
        <v>3420</v>
      </c>
      <c r="F16" s="2" t="s">
        <v>18</v>
      </c>
    </row>
    <row r="17" spans="2:6">
      <c r="B17" s="2" t="s">
        <v>72</v>
      </c>
      <c r="C17" t="str">
        <f>_xlfn.XLOOKUP(B17,Products!$A$2:$A$251,Products!$C$2:$C$251)</f>
        <v>Generative AI</v>
      </c>
      <c r="D17" t="str">
        <f>_xlfn.XLOOKUP(B17,Sales_Transactions!D$2:D$251,Sales_Transactions!E$2:E$251)</f>
        <v>REP-11</v>
      </c>
      <c r="E17" s="5">
        <v>1900</v>
      </c>
      <c r="F17" s="2" t="s">
        <v>17</v>
      </c>
    </row>
    <row r="18" spans="2:6">
      <c r="B18" s="2" t="s">
        <v>31</v>
      </c>
      <c r="C18" t="str">
        <f>_xlfn.XLOOKUP(B18,Products!$A$2:$A$251,Products!$C$2:$C$251)</f>
        <v>Sales AI</v>
      </c>
      <c r="D18" t="str">
        <f>_xlfn.XLOOKUP(B18,Sales_Transactions!D$2:D$251,Sales_Transactions!E$2:E$251)</f>
        <v>REP-04</v>
      </c>
      <c r="E18" s="5" t="s">
        <v>17</v>
      </c>
      <c r="F18" s="2" t="s">
        <v>26</v>
      </c>
    </row>
    <row r="19" spans="2:6">
      <c r="B19" s="2" t="s">
        <v>79</v>
      </c>
      <c r="C19" t="str">
        <f>_xlfn.XLOOKUP(B19,Products!$A$2:$A$251,Products!$C$2:$C$251)</f>
        <v>Analytics AI</v>
      </c>
      <c r="D19" t="str">
        <f>_xlfn.XLOOKUP(B19,Sales_Transactions!D$2:D$251,Sales_Transactions!E$2:E$251)</f>
        <v>REP-11</v>
      </c>
      <c r="E19" s="5">
        <v>950</v>
      </c>
      <c r="F19" s="2" t="s">
        <v>17</v>
      </c>
    </row>
    <row r="20" spans="2:6">
      <c r="B20" s="2" t="s">
        <v>79</v>
      </c>
      <c r="C20" t="str">
        <f>_xlfn.XLOOKUP(B20,Products!$A$2:$A$251,Products!$C$2:$C$251)</f>
        <v>Analytics AI</v>
      </c>
      <c r="D20" t="str">
        <f>_xlfn.XLOOKUP(B20,Sales_Transactions!D$2:D$251,Sales_Transactions!E$2:E$251)</f>
        <v>REP-11</v>
      </c>
      <c r="E20" s="5">
        <v>4512.5</v>
      </c>
      <c r="F20" s="2" t="s">
        <v>60</v>
      </c>
    </row>
    <row r="21" spans="2:6">
      <c r="B21" s="2" t="s">
        <v>72</v>
      </c>
      <c r="C21" t="str">
        <f>_xlfn.XLOOKUP(B21,Products!$A$2:$A$251,Products!$C$2:$C$251)</f>
        <v>Generative AI</v>
      </c>
      <c r="D21" t="str">
        <f>_xlfn.XLOOKUP(B21,Sales_Transactions!D$2:D$251,Sales_Transactions!E$2:E$251)</f>
        <v>REP-11</v>
      </c>
      <c r="E21" s="5" t="s">
        <v>17</v>
      </c>
      <c r="F21" s="2" t="s">
        <v>54</v>
      </c>
    </row>
    <row r="22" spans="2:6">
      <c r="B22" s="2" t="s">
        <v>91</v>
      </c>
      <c r="C22" t="str">
        <f>_xlfn.XLOOKUP(B22,Products!$A$2:$A$251,Products!$C$2:$C$251)</f>
        <v>HR AI</v>
      </c>
      <c r="D22" t="str">
        <f>_xlfn.XLOOKUP(B22,Sales_Transactions!D$2:D$251,Sales_Transactions!E$2:E$251)</f>
        <v>REP-09</v>
      </c>
      <c r="E22" s="5" t="s">
        <v>17</v>
      </c>
      <c r="F22" s="2" t="s">
        <v>54</v>
      </c>
    </row>
    <row r="23" spans="2:6">
      <c r="B23" s="2" t="s">
        <v>36</v>
      </c>
      <c r="C23" t="str">
        <f>_xlfn.XLOOKUP(B23,Products!$A$2:$A$251,Products!$C$2:$C$251)</f>
        <v>Conversational AI</v>
      </c>
      <c r="D23" t="str">
        <f>_xlfn.XLOOKUP(B23,Sales_Transactions!D$2:D$251,Sales_Transactions!E$2:E$251)</f>
        <v>REP-01</v>
      </c>
      <c r="E23" s="5" t="s">
        <v>17</v>
      </c>
      <c r="F23" s="2" t="s">
        <v>54</v>
      </c>
    </row>
    <row r="24" spans="2:6">
      <c r="B24" s="2" t="s">
        <v>72</v>
      </c>
      <c r="C24" t="str">
        <f>_xlfn.XLOOKUP(B24,Products!$A$2:$A$251,Products!$C$2:$C$251)</f>
        <v>Generative AI</v>
      </c>
      <c r="D24" t="str">
        <f>_xlfn.XLOOKUP(B24,Sales_Transactions!D$2:D$251,Sales_Transactions!E$2:E$251)</f>
        <v>REP-11</v>
      </c>
      <c r="E24" s="5">
        <v>-450</v>
      </c>
      <c r="F24" s="2" t="s">
        <v>17</v>
      </c>
    </row>
    <row r="25" spans="2:6">
      <c r="B25" s="2" t="s">
        <v>72</v>
      </c>
      <c r="C25" t="str">
        <f>_xlfn.XLOOKUP(B25,Products!$A$2:$A$251,Products!$C$2:$C$251)</f>
        <v>Generative AI</v>
      </c>
      <c r="D25" t="str">
        <f>_xlfn.XLOOKUP(B25,Sales_Transactions!D$2:D$251,Sales_Transactions!E$2:E$251)</f>
        <v>REP-11</v>
      </c>
      <c r="E25" s="5">
        <v>0</v>
      </c>
      <c r="F25" s="2" t="s">
        <v>98</v>
      </c>
    </row>
    <row r="26" spans="2:6">
      <c r="B26" s="2" t="s">
        <v>52</v>
      </c>
      <c r="C26" t="str">
        <f>_xlfn.XLOOKUP(B26,Products!$A$2:$A$251,Products!$C$2:$C$251)</f>
        <v>Security AI</v>
      </c>
      <c r="D26" t="str">
        <f>_xlfn.XLOOKUP(B26,Sales_Transactions!D$2:D$251,Sales_Transactions!E$2:E$251)</f>
        <v>REP-03</v>
      </c>
      <c r="E26" s="5">
        <v>1900</v>
      </c>
      <c r="F26" s="2" t="s">
        <v>26</v>
      </c>
    </row>
    <row r="27" spans="2:6">
      <c r="B27" s="2" t="s">
        <v>91</v>
      </c>
      <c r="C27" t="str">
        <f>_xlfn.XLOOKUP(B27,Products!$A$2:$A$251,Products!$C$2:$C$251)</f>
        <v>HR AI</v>
      </c>
      <c r="D27" t="str">
        <f>_xlfn.XLOOKUP(B27,Sales_Transactions!D$2:D$251,Sales_Transactions!E$2:E$251)</f>
        <v>REP-09</v>
      </c>
      <c r="E27" s="5">
        <v>1190</v>
      </c>
      <c r="F27" s="2" t="s">
        <v>26</v>
      </c>
    </row>
    <row r="28" spans="2:6">
      <c r="B28" s="2" t="s">
        <v>63</v>
      </c>
      <c r="C28" t="str">
        <f>_xlfn.XLOOKUP(B28,Products!$A$2:$A$251,Products!$C$2:$C$251)</f>
        <v>Computer Vision</v>
      </c>
      <c r="D28" t="str">
        <f>_xlfn.XLOOKUP(B28,Sales_Transactions!D$2:D$251,Sales_Transactions!E$2:E$251)</f>
        <v>REP-03</v>
      </c>
      <c r="E28" s="5">
        <v>3960</v>
      </c>
      <c r="F28" s="2" t="s">
        <v>26</v>
      </c>
    </row>
    <row r="29" spans="2:6">
      <c r="B29" s="2" t="s">
        <v>79</v>
      </c>
      <c r="C29" t="str">
        <f>_xlfn.XLOOKUP(B29,Products!$A$2:$A$251,Products!$C$2:$C$251)</f>
        <v>Analytics AI</v>
      </c>
      <c r="D29" t="str">
        <f>_xlfn.XLOOKUP(B29,Sales_Transactions!D$2:D$251,Sales_Transactions!E$2:E$251)</f>
        <v>REP-11</v>
      </c>
      <c r="E29" s="5" t="s">
        <v>17</v>
      </c>
      <c r="F29" s="2" t="s">
        <v>98</v>
      </c>
    </row>
    <row r="30" spans="2:6">
      <c r="B30" s="2" t="s">
        <v>15</v>
      </c>
      <c r="C30" t="str">
        <f>_xlfn.XLOOKUP(B30,Products!$A$2:$A$251,Products!$C$2:$C$251)</f>
        <v>Analytics AI</v>
      </c>
      <c r="D30" t="str">
        <f>_xlfn.XLOOKUP(B30,Sales_Transactions!D$2:D$251,Sales_Transactions!E$2:E$251)</f>
        <v>REP-07</v>
      </c>
      <c r="E30" s="5" t="s">
        <v>17</v>
      </c>
      <c r="F30" s="2" t="s">
        <v>60</v>
      </c>
    </row>
    <row r="31" spans="2:6">
      <c r="B31" s="2" t="s">
        <v>72</v>
      </c>
      <c r="C31" t="str">
        <f>_xlfn.XLOOKUP(B31,Products!$A$2:$A$251,Products!$C$2:$C$251)</f>
        <v>Generative AI</v>
      </c>
      <c r="D31" t="str">
        <f>_xlfn.XLOOKUP(B31,Sales_Transactions!D$2:D$251,Sales_Transactions!E$2:E$251)</f>
        <v>REP-11</v>
      </c>
      <c r="E31" s="5">
        <v>1700</v>
      </c>
      <c r="F31" s="2" t="s">
        <v>17</v>
      </c>
    </row>
    <row r="32" spans="2:6">
      <c r="B32" s="2" t="s">
        <v>57</v>
      </c>
      <c r="C32" t="str">
        <f>_xlfn.XLOOKUP(B32,Products!$A$2:$A$251,Products!$C$2:$C$251)</f>
        <v>Data AI</v>
      </c>
      <c r="D32" t="str">
        <f>_xlfn.XLOOKUP(B32,Sales_Transactions!D$2:D$251,Sales_Transactions!E$2:E$251)</f>
        <v>REP-12</v>
      </c>
      <c r="E32" s="5" t="s">
        <v>17</v>
      </c>
      <c r="F32" s="2" t="s">
        <v>60</v>
      </c>
    </row>
    <row r="33" spans="2:6">
      <c r="B33" s="2" t="s">
        <v>91</v>
      </c>
      <c r="C33" t="str">
        <f>_xlfn.XLOOKUP(B33,Products!$A$2:$A$251,Products!$C$2:$C$251)</f>
        <v>HR AI</v>
      </c>
      <c r="D33" t="str">
        <f>_xlfn.XLOOKUP(B33,Sales_Transactions!D$2:D$251,Sales_Transactions!E$2:E$251)</f>
        <v>REP-09</v>
      </c>
      <c r="E33" s="5">
        <v>2800</v>
      </c>
      <c r="F33" s="2" t="s">
        <v>18</v>
      </c>
    </row>
    <row r="34" spans="2:6">
      <c r="B34" s="2" t="s">
        <v>79</v>
      </c>
      <c r="C34" t="str">
        <f>_xlfn.XLOOKUP(B34,Products!$A$2:$A$251,Products!$C$2:$C$251)</f>
        <v>Analytics AI</v>
      </c>
      <c r="D34" t="str">
        <f>_xlfn.XLOOKUP(B34,Sales_Transactions!D$2:D$251,Sales_Transactions!E$2:E$251)</f>
        <v>REP-11</v>
      </c>
      <c r="E34" s="5" t="s">
        <v>17</v>
      </c>
      <c r="F34" s="2" t="s">
        <v>54</v>
      </c>
    </row>
    <row r="35" spans="2:6">
      <c r="B35" s="2" t="s">
        <v>91</v>
      </c>
      <c r="C35" t="str">
        <f>_xlfn.XLOOKUP(B35,Products!$A$2:$A$251,Products!$C$2:$C$251)</f>
        <v>HR AI</v>
      </c>
      <c r="D35" t="str">
        <f>_xlfn.XLOOKUP(B35,Sales_Transactions!D$2:D$251,Sales_Transactions!E$2:E$251)</f>
        <v>REP-09</v>
      </c>
      <c r="E35" s="5" t="s">
        <v>17</v>
      </c>
      <c r="F35" s="2" t="s">
        <v>26</v>
      </c>
    </row>
    <row r="36" spans="2:6">
      <c r="B36" s="2" t="s">
        <v>63</v>
      </c>
      <c r="C36" t="str">
        <f>_xlfn.XLOOKUP(B36,Products!$A$2:$A$251,Products!$C$2:$C$251)</f>
        <v>Computer Vision</v>
      </c>
      <c r="D36" t="str">
        <f>_xlfn.XLOOKUP(B36,Sales_Transactions!D$2:D$251,Sales_Transactions!E$2:E$251)</f>
        <v>REP-03</v>
      </c>
      <c r="E36" s="5" t="s">
        <v>17</v>
      </c>
      <c r="F36" s="2" t="s">
        <v>26</v>
      </c>
    </row>
    <row r="37" spans="2:6">
      <c r="B37" s="2" t="s">
        <v>31</v>
      </c>
      <c r="C37" t="str">
        <f>_xlfn.XLOOKUP(B37,Products!$A$2:$A$251,Products!$C$2:$C$251)</f>
        <v>Sales AI</v>
      </c>
      <c r="D37" t="str">
        <f>_xlfn.XLOOKUP(B37,Sales_Transactions!D$2:D$251,Sales_Transactions!E$2:E$251)</f>
        <v>REP-04</v>
      </c>
      <c r="E37" s="5">
        <v>3200</v>
      </c>
      <c r="F37" s="2" t="s">
        <v>18</v>
      </c>
    </row>
    <row r="38" spans="2:6">
      <c r="B38" s="2" t="s">
        <v>72</v>
      </c>
      <c r="C38" t="str">
        <f>_xlfn.XLOOKUP(B38,Products!$A$2:$A$251,Products!$C$2:$C$251)</f>
        <v>Generative AI</v>
      </c>
      <c r="D38" t="str">
        <f>_xlfn.XLOOKUP(B38,Sales_Transactions!D$2:D$251,Sales_Transactions!E$2:E$251)</f>
        <v>REP-11</v>
      </c>
      <c r="E38" s="5">
        <v>4000</v>
      </c>
      <c r="F38" s="2" t="s">
        <v>60</v>
      </c>
    </row>
    <row r="39" spans="2:6">
      <c r="B39" s="2" t="s">
        <v>36</v>
      </c>
      <c r="C39" t="str">
        <f>_xlfn.XLOOKUP(B39,Products!$A$2:$A$251,Products!$C$2:$C$251)</f>
        <v>Conversational AI</v>
      </c>
      <c r="D39" t="str">
        <f>_xlfn.XLOOKUP(B39,Sales_Transactions!D$2:D$251,Sales_Transactions!E$2:E$251)</f>
        <v>REP-01</v>
      </c>
      <c r="E39" s="5" t="s">
        <v>17</v>
      </c>
      <c r="F39" s="2" t="s">
        <v>18</v>
      </c>
    </row>
    <row r="40" spans="2:6">
      <c r="B40" s="2" t="s">
        <v>91</v>
      </c>
      <c r="C40" t="str">
        <f>_xlfn.XLOOKUP(B40,Products!$A$2:$A$251,Products!$C$2:$C$251)</f>
        <v>HR AI</v>
      </c>
      <c r="D40" t="str">
        <f>_xlfn.XLOOKUP(B40,Sales_Transactions!D$2:D$251,Sales_Transactions!E$2:E$251)</f>
        <v>REP-09</v>
      </c>
      <c r="E40" s="5" t="s">
        <v>17</v>
      </c>
      <c r="F40" s="2" t="s">
        <v>17</v>
      </c>
    </row>
    <row r="41" spans="2:6">
      <c r="B41" s="2" t="s">
        <v>36</v>
      </c>
      <c r="C41" t="str">
        <f>_xlfn.XLOOKUP(B41,Products!$A$2:$A$251,Products!$C$2:$C$251)</f>
        <v>Conversational AI</v>
      </c>
      <c r="D41" t="str">
        <f>_xlfn.XLOOKUP(B41,Sales_Transactions!D$2:D$251,Sales_Transactions!E$2:E$251)</f>
        <v>REP-01</v>
      </c>
      <c r="E41" s="5">
        <v>-990</v>
      </c>
      <c r="F41" s="2" t="s">
        <v>60</v>
      </c>
    </row>
    <row r="42" spans="2:6">
      <c r="B42" s="2" t="s">
        <v>52</v>
      </c>
      <c r="C42" t="str">
        <f>_xlfn.XLOOKUP(B42,Products!$A$2:$A$251,Products!$C$2:$C$251)</f>
        <v>Security AI</v>
      </c>
      <c r="D42" t="str">
        <f>_xlfn.XLOOKUP(B42,Sales_Transactions!D$2:D$251,Sales_Transactions!E$2:E$251)</f>
        <v>REP-03</v>
      </c>
      <c r="E42" s="5" t="s">
        <v>17</v>
      </c>
      <c r="F42" s="2" t="s">
        <v>60</v>
      </c>
    </row>
    <row r="43" spans="2:6">
      <c r="B43" s="2" t="s">
        <v>79</v>
      </c>
      <c r="C43" t="str">
        <f>_xlfn.XLOOKUP(B43,Products!$A$2:$A$251,Products!$C$2:$C$251)</f>
        <v>Analytics AI</v>
      </c>
      <c r="D43" t="str">
        <f>_xlfn.XLOOKUP(B43,Sales_Transactions!D$2:D$251,Sales_Transactions!E$2:E$251)</f>
        <v>REP-11</v>
      </c>
      <c r="E43" s="5" t="s">
        <v>17</v>
      </c>
      <c r="F43" s="2" t="s">
        <v>17</v>
      </c>
    </row>
    <row r="44" spans="2:6">
      <c r="B44" s="2" t="s">
        <v>41</v>
      </c>
      <c r="C44" t="str">
        <f>_xlfn.XLOOKUP(B44,Products!$A$2:$A$251,Products!$C$2:$C$251)</f>
        <v>Conversational AI</v>
      </c>
      <c r="D44" t="str">
        <f>_xlfn.XLOOKUP(B44,Sales_Transactions!D$2:D$251,Sales_Transactions!E$2:E$251)</f>
        <v>REP-02</v>
      </c>
      <c r="E44" s="5" t="s">
        <v>17</v>
      </c>
      <c r="F44" s="2" t="s">
        <v>54</v>
      </c>
    </row>
    <row r="45" spans="2:6">
      <c r="B45" s="2" t="s">
        <v>79</v>
      </c>
      <c r="C45" t="str">
        <f>_xlfn.XLOOKUP(B45,Products!$A$2:$A$251,Products!$C$2:$C$251)</f>
        <v>Analytics AI</v>
      </c>
      <c r="D45" t="str">
        <f>_xlfn.XLOOKUP(B45,Sales_Transactions!D$2:D$251,Sales_Transactions!E$2:E$251)</f>
        <v>REP-11</v>
      </c>
      <c r="E45" s="5" t="s">
        <v>17</v>
      </c>
      <c r="F45" s="2" t="s">
        <v>26</v>
      </c>
    </row>
    <row r="46" spans="2:6">
      <c r="B46" s="2" t="s">
        <v>57</v>
      </c>
      <c r="C46" t="str">
        <f>_xlfn.XLOOKUP(B46,Products!$A$2:$A$251,Products!$C$2:$C$251)</f>
        <v>Data AI</v>
      </c>
      <c r="D46" t="str">
        <f>_xlfn.XLOOKUP(B46,Sales_Transactions!D$2:D$251,Sales_Transactions!E$2:E$251)</f>
        <v>REP-12</v>
      </c>
      <c r="E46" s="5">
        <v>4000</v>
      </c>
      <c r="F46" s="2" t="s">
        <v>98</v>
      </c>
    </row>
    <row r="47" spans="2:6">
      <c r="B47" s="2" t="s">
        <v>63</v>
      </c>
      <c r="C47" t="str">
        <f>_xlfn.XLOOKUP(B47,Products!$A$2:$A$251,Products!$C$2:$C$251)</f>
        <v>Computer Vision</v>
      </c>
      <c r="D47" t="str">
        <f>_xlfn.XLOOKUP(B47,Sales_Transactions!D$2:D$251,Sales_Transactions!E$2:E$251)</f>
        <v>REP-03</v>
      </c>
      <c r="E47" s="5" t="s">
        <v>17</v>
      </c>
      <c r="F47" s="2" t="s">
        <v>26</v>
      </c>
    </row>
    <row r="48" spans="2:6">
      <c r="B48" s="2" t="s">
        <v>72</v>
      </c>
      <c r="C48" t="str">
        <f>_xlfn.XLOOKUP(B48,Products!$A$2:$A$251,Products!$C$2:$C$251)</f>
        <v>Generative AI</v>
      </c>
      <c r="D48" t="str">
        <f>_xlfn.XLOOKUP(B48,Sales_Transactions!D$2:D$251,Sales_Transactions!E$2:E$251)</f>
        <v>REP-11</v>
      </c>
      <c r="E48" s="5">
        <v>0</v>
      </c>
      <c r="F48" s="2" t="s">
        <v>18</v>
      </c>
    </row>
    <row r="49" spans="2:6">
      <c r="B49" s="2" t="s">
        <v>72</v>
      </c>
      <c r="C49" t="str">
        <f>_xlfn.XLOOKUP(B49,Products!$A$2:$A$251,Products!$C$2:$C$251)</f>
        <v>Generative AI</v>
      </c>
      <c r="D49" t="str">
        <f>_xlfn.XLOOKUP(B49,Sales_Transactions!D$2:D$251,Sales_Transactions!E$2:E$251)</f>
        <v>REP-11</v>
      </c>
      <c r="E49" s="5" t="s">
        <v>17</v>
      </c>
      <c r="F49" s="2" t="s">
        <v>18</v>
      </c>
    </row>
    <row r="50" spans="2:6">
      <c r="B50" s="2" t="s">
        <v>68</v>
      </c>
      <c r="C50" t="str">
        <f>_xlfn.XLOOKUP(B50,Products!$A$2:$A$251,Products!$C$2:$C$251)</f>
        <v>Sales AI</v>
      </c>
      <c r="D50" t="str">
        <f>_xlfn.XLOOKUP(B50,Sales_Transactions!D$2:D$251,Sales_Transactions!E$2:E$251)</f>
        <v>REP-09</v>
      </c>
      <c r="E50" s="5">
        <v>4080</v>
      </c>
      <c r="F50" s="2" t="s">
        <v>18</v>
      </c>
    </row>
    <row r="51" spans="2:6">
      <c r="B51" s="2" t="s">
        <v>31</v>
      </c>
      <c r="C51" t="str">
        <f>_xlfn.XLOOKUP(B51,Products!$A$2:$A$251,Products!$C$2:$C$251)</f>
        <v>Sales AI</v>
      </c>
      <c r="D51" t="str">
        <f>_xlfn.XLOOKUP(B51,Sales_Transactions!D$2:D$251,Sales_Transactions!E$2:E$251)</f>
        <v>REP-04</v>
      </c>
      <c r="E51" s="5">
        <v>2280</v>
      </c>
      <c r="F51" s="2" t="s">
        <v>26</v>
      </c>
    </row>
    <row r="52" spans="2:6">
      <c r="B52" s="2" t="s">
        <v>41</v>
      </c>
      <c r="C52" t="str">
        <f>_xlfn.XLOOKUP(B52,Products!$A$2:$A$251,Products!$C$2:$C$251)</f>
        <v>Conversational AI</v>
      </c>
      <c r="D52" t="str">
        <f>_xlfn.XLOOKUP(B52,Sales_Transactions!D$2:D$251,Sales_Transactions!E$2:E$251)</f>
        <v>REP-02</v>
      </c>
      <c r="E52" s="5" t="s">
        <v>17</v>
      </c>
      <c r="F52" s="2" t="s">
        <v>60</v>
      </c>
    </row>
    <row r="53" spans="2:6">
      <c r="B53" s="2" t="s">
        <v>79</v>
      </c>
      <c r="C53" t="str">
        <f>_xlfn.XLOOKUP(B53,Products!$A$2:$A$251,Products!$C$2:$C$251)</f>
        <v>Analytics AI</v>
      </c>
      <c r="D53" t="str">
        <f>_xlfn.XLOOKUP(B53,Sales_Transactions!D$2:D$251,Sales_Transactions!E$2:E$251)</f>
        <v>REP-11</v>
      </c>
      <c r="E53" s="5" t="s">
        <v>17</v>
      </c>
      <c r="F53" s="2" t="s">
        <v>60</v>
      </c>
    </row>
    <row r="54" spans="2:6">
      <c r="B54" s="2" t="s">
        <v>31</v>
      </c>
      <c r="C54" t="str">
        <f>_xlfn.XLOOKUP(B54,Products!$A$2:$A$251,Products!$C$2:$C$251)</f>
        <v>Sales AI</v>
      </c>
      <c r="D54" t="str">
        <f>_xlfn.XLOOKUP(B54,Sales_Transactions!D$2:D$251,Sales_Transactions!E$2:E$251)</f>
        <v>REP-04</v>
      </c>
      <c r="E54" s="5">
        <v>4000</v>
      </c>
      <c r="F54" s="2" t="s">
        <v>60</v>
      </c>
    </row>
    <row r="55" spans="2:6">
      <c r="B55" s="2" t="s">
        <v>41</v>
      </c>
      <c r="C55" t="str">
        <f>_xlfn.XLOOKUP(B55,Products!$A$2:$A$251,Products!$C$2:$C$251)</f>
        <v>Conversational AI</v>
      </c>
      <c r="D55" t="str">
        <f>_xlfn.XLOOKUP(B55,Sales_Transactions!D$2:D$251,Sales_Transactions!E$2:E$251)</f>
        <v>REP-02</v>
      </c>
      <c r="E55" s="5">
        <v>5100</v>
      </c>
      <c r="F55" s="2" t="s">
        <v>60</v>
      </c>
    </row>
    <row r="56" spans="2:6">
      <c r="B56" s="2" t="s">
        <v>63</v>
      </c>
      <c r="C56" t="str">
        <f>_xlfn.XLOOKUP(B56,Products!$A$2:$A$251,Products!$C$2:$C$251)</f>
        <v>Computer Vision</v>
      </c>
      <c r="D56" t="str">
        <f>_xlfn.XLOOKUP(B56,Sales_Transactions!D$2:D$251,Sales_Transactions!E$2:E$251)</f>
        <v>REP-03</v>
      </c>
      <c r="E56" s="5">
        <v>1870</v>
      </c>
      <c r="F56" s="2" t="s">
        <v>26</v>
      </c>
    </row>
    <row r="57" spans="2:6">
      <c r="B57" s="2" t="s">
        <v>24</v>
      </c>
      <c r="C57" t="str">
        <f>_xlfn.XLOOKUP(B57,Products!$A$2:$A$251,Products!$C$2:$C$251)</f>
        <v>Conversational AI</v>
      </c>
      <c r="D57" t="str">
        <f>_xlfn.XLOOKUP(B57,Sales_Transactions!D$2:D$251,Sales_Transactions!E$2:E$251)</f>
        <v>REP-04</v>
      </c>
      <c r="E57" s="5" t="s">
        <v>17</v>
      </c>
      <c r="F57" s="2" t="s">
        <v>98</v>
      </c>
    </row>
    <row r="58" spans="2:6">
      <c r="B58" s="2" t="s">
        <v>68</v>
      </c>
      <c r="C58" t="str">
        <f>_xlfn.XLOOKUP(B58,Products!$A$2:$A$251,Products!$C$2:$C$251)</f>
        <v>Sales AI</v>
      </c>
      <c r="D58" t="str">
        <f>_xlfn.XLOOKUP(B58,Sales_Transactions!D$2:D$251,Sales_Transactions!E$2:E$251)</f>
        <v>REP-09</v>
      </c>
      <c r="E58" s="5">
        <v>3840</v>
      </c>
      <c r="F58" s="2" t="s">
        <v>17</v>
      </c>
    </row>
    <row r="59" spans="2:6">
      <c r="B59" s="2" t="s">
        <v>31</v>
      </c>
      <c r="C59" t="str">
        <f>_xlfn.XLOOKUP(B59,Products!$A$2:$A$251,Products!$C$2:$C$251)</f>
        <v>Sales AI</v>
      </c>
      <c r="D59" t="str">
        <f>_xlfn.XLOOKUP(B59,Sales_Transactions!D$2:D$251,Sales_Transactions!E$2:E$251)</f>
        <v>REP-04</v>
      </c>
      <c r="E59" s="5" t="s">
        <v>17</v>
      </c>
      <c r="F59" s="2" t="s">
        <v>60</v>
      </c>
    </row>
    <row r="60" spans="2:6">
      <c r="B60" s="2" t="s">
        <v>57</v>
      </c>
      <c r="C60" t="str">
        <f>_xlfn.XLOOKUP(B60,Products!$A$2:$A$251,Products!$C$2:$C$251)</f>
        <v>Data AI</v>
      </c>
      <c r="D60" t="str">
        <f>_xlfn.XLOOKUP(B60,Sales_Transactions!D$2:D$251,Sales_Transactions!E$2:E$251)</f>
        <v>REP-12</v>
      </c>
      <c r="E60" s="5">
        <v>4800</v>
      </c>
      <c r="F60" s="2" t="s">
        <v>60</v>
      </c>
    </row>
    <row r="61" spans="2:6">
      <c r="B61" s="2" t="s">
        <v>63</v>
      </c>
      <c r="C61" t="str">
        <f>_xlfn.XLOOKUP(B61,Products!$A$2:$A$251,Products!$C$2:$C$251)</f>
        <v>Computer Vision</v>
      </c>
      <c r="D61" t="str">
        <f>_xlfn.XLOOKUP(B61,Sales_Transactions!D$2:D$251,Sales_Transactions!E$2:E$251)</f>
        <v>REP-03</v>
      </c>
      <c r="E61" s="5" t="s">
        <v>17</v>
      </c>
      <c r="F61" s="2" t="s">
        <v>26</v>
      </c>
    </row>
    <row r="62" spans="2:6">
      <c r="B62" s="2" t="s">
        <v>63</v>
      </c>
      <c r="C62" t="str">
        <f>_xlfn.XLOOKUP(B62,Products!$A$2:$A$251,Products!$C$2:$C$251)</f>
        <v>Computer Vision</v>
      </c>
      <c r="D62" t="str">
        <f>_xlfn.XLOOKUP(B62,Sales_Transactions!D$2:D$251,Sales_Transactions!E$2:E$251)</f>
        <v>REP-03</v>
      </c>
      <c r="E62" s="5" t="s">
        <v>17</v>
      </c>
      <c r="F62" s="2" t="s">
        <v>17</v>
      </c>
    </row>
    <row r="63" spans="2:6">
      <c r="B63" s="2" t="s">
        <v>52</v>
      </c>
      <c r="C63" t="str">
        <f>_xlfn.XLOOKUP(B63,Products!$A$2:$A$251,Products!$C$2:$C$251)</f>
        <v>Security AI</v>
      </c>
      <c r="D63" t="str">
        <f>_xlfn.XLOOKUP(B63,Sales_Transactions!D$2:D$251,Sales_Transactions!E$2:E$251)</f>
        <v>REP-03</v>
      </c>
      <c r="E63" s="5">
        <v>6840</v>
      </c>
      <c r="F63" s="2" t="s">
        <v>18</v>
      </c>
    </row>
    <row r="64" spans="2:6">
      <c r="B64" s="2" t="s">
        <v>57</v>
      </c>
      <c r="C64" t="str">
        <f>_xlfn.XLOOKUP(B64,Products!$A$2:$A$251,Products!$C$2:$C$251)</f>
        <v>Data AI</v>
      </c>
      <c r="D64" t="str">
        <f>_xlfn.XLOOKUP(B64,Sales_Transactions!D$2:D$251,Sales_Transactions!E$2:E$251)</f>
        <v>REP-12</v>
      </c>
      <c r="E64" s="5">
        <v>4800</v>
      </c>
      <c r="F64" s="2" t="s">
        <v>18</v>
      </c>
    </row>
    <row r="65" spans="2:6">
      <c r="B65" s="2" t="s">
        <v>15</v>
      </c>
      <c r="C65" t="str">
        <f>_xlfn.XLOOKUP(B65,Products!$A$2:$A$251,Products!$C$2:$C$251)</f>
        <v>Analytics AI</v>
      </c>
      <c r="D65" t="str">
        <f>_xlfn.XLOOKUP(B65,Sales_Transactions!D$2:D$251,Sales_Transactions!E$2:E$251)</f>
        <v>REP-07</v>
      </c>
      <c r="E65" s="5">
        <v>1575</v>
      </c>
      <c r="F65" s="2" t="s">
        <v>26</v>
      </c>
    </row>
    <row r="66" spans="2:6">
      <c r="B66" s="2" t="s">
        <v>63</v>
      </c>
      <c r="C66" t="str">
        <f>_xlfn.XLOOKUP(B66,Products!$A$2:$A$251,Products!$C$2:$C$251)</f>
        <v>Computer Vision</v>
      </c>
      <c r="D66" t="str">
        <f>_xlfn.XLOOKUP(B66,Sales_Transactions!D$2:D$251,Sales_Transactions!E$2:E$251)</f>
        <v>REP-03</v>
      </c>
      <c r="E66" s="5">
        <v>6600</v>
      </c>
      <c r="F66" s="2" t="s">
        <v>18</v>
      </c>
    </row>
    <row r="67" spans="2:6">
      <c r="B67" s="2" t="s">
        <v>57</v>
      </c>
      <c r="C67" t="str">
        <f>_xlfn.XLOOKUP(B67,Products!$A$2:$A$251,Products!$C$2:$C$251)</f>
        <v>Data AI</v>
      </c>
      <c r="D67" t="str">
        <f>_xlfn.XLOOKUP(B67,Sales_Transactions!D$2:D$251,Sales_Transactions!E$2:E$251)</f>
        <v>REP-12</v>
      </c>
      <c r="E67" s="5" t="s">
        <v>17</v>
      </c>
      <c r="F67" s="2" t="s">
        <v>54</v>
      </c>
    </row>
    <row r="68" spans="2:6">
      <c r="B68" s="2" t="s">
        <v>72</v>
      </c>
      <c r="C68" t="str">
        <f>_xlfn.XLOOKUP(B68,Products!$A$2:$A$251,Products!$C$2:$C$251)</f>
        <v>Generative AI</v>
      </c>
      <c r="D68" t="str">
        <f>_xlfn.XLOOKUP(B68,Sales_Transactions!D$2:D$251,Sales_Transactions!E$2:E$251)</f>
        <v>REP-11</v>
      </c>
      <c r="E68" s="5">
        <v>850</v>
      </c>
      <c r="F68" s="2" t="s">
        <v>26</v>
      </c>
    </row>
    <row r="69" spans="2:6">
      <c r="B69" s="2" t="s">
        <v>68</v>
      </c>
      <c r="C69" t="str">
        <f>_xlfn.XLOOKUP(B69,Products!$A$2:$A$251,Products!$C$2:$C$251)</f>
        <v>Sales AI</v>
      </c>
      <c r="D69" t="str">
        <f>_xlfn.XLOOKUP(B69,Sales_Transactions!D$2:D$251,Sales_Transactions!E$2:E$251)</f>
        <v>REP-09</v>
      </c>
      <c r="E69" s="5" t="s">
        <v>17</v>
      </c>
      <c r="F69" s="2" t="s">
        <v>17</v>
      </c>
    </row>
    <row r="70" spans="2:6">
      <c r="B70" s="2" t="s">
        <v>15</v>
      </c>
      <c r="C70" t="str">
        <f>_xlfn.XLOOKUP(B70,Products!$A$2:$A$251,Products!$C$2:$C$251)</f>
        <v>Analytics AI</v>
      </c>
      <c r="D70" t="str">
        <f>_xlfn.XLOOKUP(B70,Sales_Transactions!D$2:D$251,Sales_Transactions!E$2:E$251)</f>
        <v>REP-07</v>
      </c>
      <c r="E70" s="5">
        <v>4725</v>
      </c>
      <c r="F70" s="2" t="s">
        <v>26</v>
      </c>
    </row>
    <row r="71" spans="2:6">
      <c r="B71" s="2" t="s">
        <v>79</v>
      </c>
      <c r="C71" t="str">
        <f>_xlfn.XLOOKUP(B71,Products!$A$2:$A$251,Products!$C$2:$C$251)</f>
        <v>Analytics AI</v>
      </c>
      <c r="D71" t="str">
        <f>_xlfn.XLOOKUP(B71,Sales_Transactions!D$2:D$251,Sales_Transactions!E$2:E$251)</f>
        <v>REP-11</v>
      </c>
      <c r="E71" s="5" t="s">
        <v>17</v>
      </c>
      <c r="F71" s="2" t="s">
        <v>98</v>
      </c>
    </row>
    <row r="72" spans="2:6">
      <c r="B72" s="2" t="s">
        <v>91</v>
      </c>
      <c r="C72" t="str">
        <f>_xlfn.XLOOKUP(B72,Products!$A$2:$A$251,Products!$C$2:$C$251)</f>
        <v>HR AI</v>
      </c>
      <c r="D72" t="str">
        <f>_xlfn.XLOOKUP(B72,Sales_Transactions!D$2:D$251,Sales_Transactions!E$2:E$251)</f>
        <v>REP-09</v>
      </c>
      <c r="E72" s="5">
        <v>1785</v>
      </c>
      <c r="F72" s="2" t="s">
        <v>26</v>
      </c>
    </row>
    <row r="73" spans="2:6">
      <c r="B73" s="2" t="s">
        <v>72</v>
      </c>
      <c r="C73" t="str">
        <f>_xlfn.XLOOKUP(B73,Products!$A$2:$A$251,Products!$C$2:$C$251)</f>
        <v>Generative AI</v>
      </c>
      <c r="D73" t="str">
        <f>_xlfn.XLOOKUP(B73,Sales_Transactions!D$2:D$251,Sales_Transactions!E$2:E$251)</f>
        <v>REP-11</v>
      </c>
      <c r="E73" s="5" t="s">
        <v>17</v>
      </c>
      <c r="F73" s="2" t="s">
        <v>26</v>
      </c>
    </row>
    <row r="74" spans="2:6">
      <c r="B74" s="2" t="s">
        <v>57</v>
      </c>
      <c r="C74" t="str">
        <f>_xlfn.XLOOKUP(B74,Products!$A$2:$A$251,Products!$C$2:$C$251)</f>
        <v>Data AI</v>
      </c>
      <c r="D74" t="str">
        <f>_xlfn.XLOOKUP(B74,Sales_Transactions!D$2:D$251,Sales_Transactions!E$2:E$251)</f>
        <v>REP-12</v>
      </c>
      <c r="E74" s="5" t="s">
        <v>17</v>
      </c>
      <c r="F74" s="2" t="s">
        <v>26</v>
      </c>
    </row>
    <row r="75" spans="2:6">
      <c r="B75" s="2" t="s">
        <v>15</v>
      </c>
      <c r="C75" t="str">
        <f>_xlfn.XLOOKUP(B75,Products!$A$2:$A$251,Products!$C$2:$C$251)</f>
        <v>Analytics AI</v>
      </c>
      <c r="D75" t="str">
        <f>_xlfn.XLOOKUP(B75,Sales_Transactions!D$2:D$251,Sales_Transactions!E$2:E$251)</f>
        <v>REP-07</v>
      </c>
      <c r="E75" s="5">
        <v>2975</v>
      </c>
      <c r="F75" s="2" t="s">
        <v>54</v>
      </c>
    </row>
    <row r="76" spans="2:6">
      <c r="B76" s="2" t="s">
        <v>15</v>
      </c>
      <c r="C76" t="str">
        <f>_xlfn.XLOOKUP(B76,Products!$A$2:$A$251,Products!$C$2:$C$251)</f>
        <v>Analytics AI</v>
      </c>
      <c r="D76" t="str">
        <f>_xlfn.XLOOKUP(B76,Sales_Transactions!D$2:D$251,Sales_Transactions!E$2:E$251)</f>
        <v>REP-07</v>
      </c>
      <c r="E76" s="5">
        <v>2975</v>
      </c>
      <c r="F76" s="2" t="s">
        <v>60</v>
      </c>
    </row>
    <row r="77" spans="2:6">
      <c r="B77" s="2" t="s">
        <v>24</v>
      </c>
      <c r="C77" t="str">
        <f>_xlfn.XLOOKUP(B77,Products!$A$2:$A$251,Products!$C$2:$C$251)</f>
        <v>Conversational AI</v>
      </c>
      <c r="D77" t="str">
        <f>_xlfn.XLOOKUP(B77,Sales_Transactions!D$2:D$251,Sales_Transactions!E$2:E$251)</f>
        <v>REP-04</v>
      </c>
      <c r="E77" s="5" t="s">
        <v>17</v>
      </c>
      <c r="F77" s="2" t="s">
        <v>54</v>
      </c>
    </row>
    <row r="78" spans="2:6">
      <c r="B78" s="2" t="s">
        <v>24</v>
      </c>
      <c r="C78" t="str">
        <f>_xlfn.XLOOKUP(B78,Products!$A$2:$A$251,Products!$C$2:$C$251)</f>
        <v>Conversational AI</v>
      </c>
      <c r="D78" t="str">
        <f>_xlfn.XLOOKUP(B78,Sales_Transactions!D$2:D$251,Sales_Transactions!E$2:E$251)</f>
        <v>REP-04</v>
      </c>
      <c r="E78" s="5">
        <v>1800</v>
      </c>
      <c r="F78" s="2" t="s">
        <v>98</v>
      </c>
    </row>
    <row r="79" spans="2:6">
      <c r="B79" s="2" t="s">
        <v>36</v>
      </c>
      <c r="C79" t="str">
        <f>_xlfn.XLOOKUP(B79,Products!$A$2:$A$251,Products!$C$2:$C$251)</f>
        <v>Conversational AI</v>
      </c>
      <c r="D79" t="str">
        <f>_xlfn.XLOOKUP(B79,Sales_Transactions!D$2:D$251,Sales_Transactions!E$2:E$251)</f>
        <v>REP-01</v>
      </c>
      <c r="E79" s="5">
        <v>2640</v>
      </c>
      <c r="F79" s="2" t="s">
        <v>26</v>
      </c>
    </row>
    <row r="80" spans="2:6">
      <c r="B80" s="2" t="s">
        <v>15</v>
      </c>
      <c r="C80" t="str">
        <f>_xlfn.XLOOKUP(B80,Products!$A$2:$A$251,Products!$C$2:$C$251)</f>
        <v>Analytics AI</v>
      </c>
      <c r="D80" t="str">
        <f>_xlfn.XLOOKUP(B80,Sales_Transactions!D$2:D$251,Sales_Transactions!E$2:E$251)</f>
        <v>REP-07</v>
      </c>
      <c r="E80" s="5" t="s">
        <v>17</v>
      </c>
      <c r="F80" s="2" t="s">
        <v>26</v>
      </c>
    </row>
    <row r="81" spans="2:6">
      <c r="B81" s="2" t="s">
        <v>15</v>
      </c>
      <c r="C81" t="str">
        <f>_xlfn.XLOOKUP(B81,Products!$A$2:$A$251,Products!$C$2:$C$251)</f>
        <v>Analytics AI</v>
      </c>
      <c r="D81" t="str">
        <f>_xlfn.XLOOKUP(B81,Sales_Transactions!D$2:D$251,Sales_Transactions!E$2:E$251)</f>
        <v>REP-07</v>
      </c>
      <c r="E81" s="5" t="s">
        <v>17</v>
      </c>
      <c r="F81" s="2" t="s">
        <v>17</v>
      </c>
    </row>
    <row r="82" spans="2:6">
      <c r="B82" s="2" t="s">
        <v>68</v>
      </c>
      <c r="C82" t="str">
        <f>_xlfn.XLOOKUP(B82,Products!$A$2:$A$251,Products!$C$2:$C$251)</f>
        <v>Sales AI</v>
      </c>
      <c r="D82" t="str">
        <f>_xlfn.XLOOKUP(B82,Sales_Transactions!D$2:D$251,Sales_Transactions!E$2:E$251)</f>
        <v>REP-09</v>
      </c>
      <c r="E82" s="5">
        <v>4080</v>
      </c>
      <c r="F82" s="2" t="s">
        <v>98</v>
      </c>
    </row>
    <row r="83" spans="2:6">
      <c r="B83" s="2" t="s">
        <v>15</v>
      </c>
      <c r="C83" t="str">
        <f>_xlfn.XLOOKUP(B83,Products!$A$2:$A$251,Products!$C$2:$C$251)</f>
        <v>Analytics AI</v>
      </c>
      <c r="D83" t="str">
        <f>_xlfn.XLOOKUP(B83,Sales_Transactions!D$2:D$251,Sales_Transactions!E$2:E$251)</f>
        <v>REP-07</v>
      </c>
      <c r="E83" s="5" t="s">
        <v>17</v>
      </c>
      <c r="F83" s="2" t="s">
        <v>60</v>
      </c>
    </row>
    <row r="84" spans="2:6">
      <c r="B84" s="2" t="s">
        <v>68</v>
      </c>
      <c r="C84" t="str">
        <f>_xlfn.XLOOKUP(B84,Products!$A$2:$A$251,Products!$C$2:$C$251)</f>
        <v>Sales AI</v>
      </c>
      <c r="D84" t="str">
        <f>_xlfn.XLOOKUP(B84,Sales_Transactions!D$2:D$251,Sales_Transactions!E$2:E$251)</f>
        <v>REP-09</v>
      </c>
      <c r="E84" s="5">
        <v>1080</v>
      </c>
      <c r="F84" s="2" t="s">
        <v>26</v>
      </c>
    </row>
    <row r="85" spans="2:6">
      <c r="B85" s="2" t="s">
        <v>63</v>
      </c>
      <c r="C85" t="str">
        <f>_xlfn.XLOOKUP(B85,Products!$A$2:$A$251,Products!$C$2:$C$251)</f>
        <v>Computer Vision</v>
      </c>
      <c r="D85" t="str">
        <f>_xlfn.XLOOKUP(B85,Sales_Transactions!D$2:D$251,Sales_Transactions!E$2:E$251)</f>
        <v>REP-03</v>
      </c>
      <c r="E85" s="5">
        <v>8800</v>
      </c>
      <c r="F85" s="2" t="s">
        <v>98</v>
      </c>
    </row>
    <row r="86" spans="2:6">
      <c r="B86" s="2" t="s">
        <v>52</v>
      </c>
      <c r="C86" t="str">
        <f>_xlfn.XLOOKUP(B86,Products!$A$2:$A$251,Products!$C$2:$C$251)</f>
        <v>Security AI</v>
      </c>
      <c r="D86" t="str">
        <f>_xlfn.XLOOKUP(B86,Sales_Transactions!D$2:D$251,Sales_Transactions!E$2:E$251)</f>
        <v>REP-03</v>
      </c>
      <c r="E86" s="5" t="s">
        <v>17</v>
      </c>
      <c r="F86" s="2" t="s">
        <v>17</v>
      </c>
    </row>
    <row r="87" spans="2:6">
      <c r="B87" s="2" t="s">
        <v>68</v>
      </c>
      <c r="C87" t="str">
        <f>_xlfn.XLOOKUP(B87,Products!$A$2:$A$251,Products!$C$2:$C$251)</f>
        <v>Sales AI</v>
      </c>
      <c r="D87" t="str">
        <f>_xlfn.XLOOKUP(B87,Sales_Transactions!D$2:D$251,Sales_Transactions!E$2:E$251)</f>
        <v>REP-09</v>
      </c>
      <c r="E87" s="5">
        <v>3600</v>
      </c>
      <c r="F87" s="2" t="s">
        <v>26</v>
      </c>
    </row>
    <row r="88" spans="2:6">
      <c r="B88" s="2" t="s">
        <v>31</v>
      </c>
      <c r="C88" t="str">
        <f>_xlfn.XLOOKUP(B88,Products!$A$2:$A$251,Products!$C$2:$C$251)</f>
        <v>Sales AI</v>
      </c>
      <c r="D88" t="str">
        <f>_xlfn.XLOOKUP(B88,Sales_Transactions!D$2:D$251,Sales_Transactions!E$2:E$251)</f>
        <v>REP-04</v>
      </c>
      <c r="E88" s="5">
        <v>6800</v>
      </c>
      <c r="F88" s="2" t="s">
        <v>26</v>
      </c>
    </row>
    <row r="89" spans="2:6">
      <c r="B89" s="2" t="s">
        <v>57</v>
      </c>
      <c r="C89" t="str">
        <f>_xlfn.XLOOKUP(B89,Products!$A$2:$A$251,Products!$C$2:$C$251)</f>
        <v>Data AI</v>
      </c>
      <c r="D89" t="str">
        <f>_xlfn.XLOOKUP(B89,Sales_Transactions!D$2:D$251,Sales_Transactions!E$2:E$251)</f>
        <v>REP-12</v>
      </c>
      <c r="E89" s="5" t="s">
        <v>17</v>
      </c>
      <c r="F89" s="2" t="s">
        <v>54</v>
      </c>
    </row>
    <row r="90" spans="2:6">
      <c r="B90" s="2" t="s">
        <v>91</v>
      </c>
      <c r="C90" t="str">
        <f>_xlfn.XLOOKUP(B90,Products!$A$2:$A$251,Products!$C$2:$C$251)</f>
        <v>HR AI</v>
      </c>
      <c r="D90" t="str">
        <f>_xlfn.XLOOKUP(B90,Sales_Transactions!D$2:D$251,Sales_Transactions!E$2:E$251)</f>
        <v>REP-09</v>
      </c>
      <c r="E90" s="5" t="s">
        <v>17</v>
      </c>
      <c r="F90" s="2" t="s">
        <v>54</v>
      </c>
    </row>
    <row r="91" spans="2:6">
      <c r="B91" s="2" t="s">
        <v>52</v>
      </c>
      <c r="C91" t="str">
        <f>_xlfn.XLOOKUP(B91,Products!$A$2:$A$251,Products!$C$2:$C$251)</f>
        <v>Security AI</v>
      </c>
      <c r="D91" t="str">
        <f>_xlfn.XLOOKUP(B91,Sales_Transactions!D$2:D$251,Sales_Transactions!E$2:E$251)</f>
        <v>REP-03</v>
      </c>
      <c r="E91" s="5" t="s">
        <v>17</v>
      </c>
      <c r="F91" s="2" t="s">
        <v>26</v>
      </c>
    </row>
    <row r="92" spans="2:6">
      <c r="B92" s="2" t="s">
        <v>15</v>
      </c>
      <c r="C92" t="str">
        <f>_xlfn.XLOOKUP(B92,Products!$A$2:$A$251,Products!$C$2:$C$251)</f>
        <v>Analytics AI</v>
      </c>
      <c r="D92" t="str">
        <f>_xlfn.XLOOKUP(B92,Sales_Transactions!D$2:D$251,Sales_Transactions!E$2:E$251)</f>
        <v>REP-07</v>
      </c>
      <c r="E92" s="5">
        <v>4987.5</v>
      </c>
      <c r="F92" s="2" t="s">
        <v>18</v>
      </c>
    </row>
    <row r="93" spans="2:6">
      <c r="B93" s="2" t="s">
        <v>68</v>
      </c>
      <c r="C93" t="str">
        <f>_xlfn.XLOOKUP(B93,Products!$A$2:$A$251,Products!$C$2:$C$251)</f>
        <v>Sales AI</v>
      </c>
      <c r="D93" t="str">
        <f>_xlfn.XLOOKUP(B93,Sales_Transactions!D$2:D$251,Sales_Transactions!E$2:E$251)</f>
        <v>REP-09</v>
      </c>
      <c r="E93" s="5" t="s">
        <v>17</v>
      </c>
      <c r="F93" s="2" t="s">
        <v>54</v>
      </c>
    </row>
    <row r="94" spans="2:6">
      <c r="B94" s="2" t="s">
        <v>79</v>
      </c>
      <c r="C94" t="str">
        <f>_xlfn.XLOOKUP(B94,Products!$A$2:$A$251,Products!$C$2:$C$251)</f>
        <v>Analytics AI</v>
      </c>
      <c r="D94" t="str">
        <f>_xlfn.XLOOKUP(B94,Sales_Transactions!D$2:D$251,Sales_Transactions!E$2:E$251)</f>
        <v>REP-11</v>
      </c>
      <c r="E94" s="5">
        <v>1615</v>
      </c>
      <c r="F94" s="2" t="s">
        <v>54</v>
      </c>
    </row>
    <row r="95" spans="2:6">
      <c r="B95" s="2" t="s">
        <v>36</v>
      </c>
      <c r="C95" t="str">
        <f>_xlfn.XLOOKUP(B95,Products!$A$2:$A$251,Products!$C$2:$C$251)</f>
        <v>Conversational AI</v>
      </c>
      <c r="D95" t="str">
        <f>_xlfn.XLOOKUP(B95,Sales_Transactions!D$2:D$251,Sales_Transactions!E$2:E$251)</f>
        <v>REP-01</v>
      </c>
      <c r="E95" s="5" t="s">
        <v>17</v>
      </c>
      <c r="F95" s="2" t="s">
        <v>98</v>
      </c>
    </row>
    <row r="96" spans="2:6">
      <c r="B96" s="2" t="s">
        <v>91</v>
      </c>
      <c r="C96" t="str">
        <f>_xlfn.XLOOKUP(B96,Products!$A$2:$A$251,Products!$C$2:$C$251)</f>
        <v>HR AI</v>
      </c>
      <c r="D96" t="str">
        <f>_xlfn.XLOOKUP(B96,Sales_Transactions!D$2:D$251,Sales_Transactions!E$2:E$251)</f>
        <v>REP-09</v>
      </c>
      <c r="E96" s="5">
        <v>1890</v>
      </c>
      <c r="F96" s="2" t="s">
        <v>18</v>
      </c>
    </row>
    <row r="97" spans="2:6">
      <c r="B97" s="2" t="s">
        <v>63</v>
      </c>
      <c r="C97" t="str">
        <f>_xlfn.XLOOKUP(B97,Products!$A$2:$A$251,Products!$C$2:$C$251)</f>
        <v>Computer Vision</v>
      </c>
      <c r="D97" t="str">
        <f>_xlfn.XLOOKUP(B97,Sales_Transactions!D$2:D$251,Sales_Transactions!E$2:E$251)</f>
        <v>REP-03</v>
      </c>
      <c r="E97" s="5" t="s">
        <v>17</v>
      </c>
      <c r="F97" s="2" t="s">
        <v>18</v>
      </c>
    </row>
    <row r="98" spans="2:6">
      <c r="B98" s="2" t="s">
        <v>41</v>
      </c>
      <c r="C98" t="str">
        <f>_xlfn.XLOOKUP(B98,Products!$A$2:$A$251,Products!$C$2:$C$251)</f>
        <v>Conversational AI</v>
      </c>
      <c r="D98" t="str">
        <f>_xlfn.XLOOKUP(B98,Sales_Transactions!D$2:D$251,Sales_Transactions!E$2:E$251)</f>
        <v>REP-02</v>
      </c>
      <c r="E98" s="5" t="s">
        <v>17</v>
      </c>
      <c r="F98" s="2" t="s">
        <v>54</v>
      </c>
    </row>
    <row r="99" spans="2:6">
      <c r="B99" s="2" t="s">
        <v>63</v>
      </c>
      <c r="C99" t="str">
        <f>_xlfn.XLOOKUP(B99,Products!$A$2:$A$251,Products!$C$2:$C$251)</f>
        <v>Computer Vision</v>
      </c>
      <c r="D99" t="str">
        <f>_xlfn.XLOOKUP(B99,Sales_Transactions!D$2:D$251,Sales_Transactions!E$2:E$251)</f>
        <v>REP-03</v>
      </c>
      <c r="E99" s="5" t="s">
        <v>17</v>
      </c>
      <c r="F99" s="2" t="s">
        <v>26</v>
      </c>
    </row>
    <row r="100" spans="2:6">
      <c r="B100" s="2" t="s">
        <v>63</v>
      </c>
      <c r="C100" t="str">
        <f>_xlfn.XLOOKUP(B100,Products!$A$2:$A$251,Products!$C$2:$C$251)</f>
        <v>Computer Vision</v>
      </c>
      <c r="D100" t="str">
        <f>_xlfn.XLOOKUP(B100,Sales_Transactions!D$2:D$251,Sales_Transactions!E$2:E$251)</f>
        <v>REP-03</v>
      </c>
      <c r="E100" s="5">
        <v>22000</v>
      </c>
      <c r="F100" s="2" t="s">
        <v>26</v>
      </c>
    </row>
    <row r="101" spans="2:6">
      <c r="B101" s="2" t="s">
        <v>91</v>
      </c>
      <c r="C101" t="str">
        <f>_xlfn.XLOOKUP(B101,Products!$A$2:$A$251,Products!$C$2:$C$251)</f>
        <v>HR AI</v>
      </c>
      <c r="D101" t="str">
        <f>_xlfn.XLOOKUP(B101,Sales_Transactions!D$2:D$251,Sales_Transactions!E$2:E$251)</f>
        <v>REP-09</v>
      </c>
      <c r="E101" s="5" t="s">
        <v>17</v>
      </c>
      <c r="F101" s="2" t="s">
        <v>26</v>
      </c>
    </row>
    <row r="102" spans="2:6">
      <c r="B102" s="2" t="s">
        <v>41</v>
      </c>
      <c r="C102" t="str">
        <f>_xlfn.XLOOKUP(B102,Products!$A$2:$A$251,Products!$C$2:$C$251)</f>
        <v>Conversational AI</v>
      </c>
      <c r="D102" t="str">
        <f>_xlfn.XLOOKUP(B102,Sales_Transactions!D$2:D$251,Sales_Transactions!E$2:E$251)</f>
        <v>REP-02</v>
      </c>
      <c r="E102" s="5">
        <v>12750</v>
      </c>
      <c r="F102" s="2" t="s">
        <v>60</v>
      </c>
    </row>
    <row r="103" spans="2:6">
      <c r="B103" s="2" t="s">
        <v>79</v>
      </c>
      <c r="C103" t="str">
        <f>_xlfn.XLOOKUP(B103,Products!$A$2:$A$251,Products!$C$2:$C$251)</f>
        <v>Analytics AI</v>
      </c>
      <c r="D103" t="str">
        <f>_xlfn.XLOOKUP(B103,Sales_Transactions!D$2:D$251,Sales_Transactions!E$2:E$251)</f>
        <v>REP-11</v>
      </c>
      <c r="E103" s="5" t="s">
        <v>17</v>
      </c>
      <c r="F103" s="2" t="s">
        <v>60</v>
      </c>
    </row>
    <row r="104" spans="2:6">
      <c r="B104" s="2" t="s">
        <v>36</v>
      </c>
      <c r="C104" t="str">
        <f>_xlfn.XLOOKUP(B104,Products!$A$2:$A$251,Products!$C$2:$C$251)</f>
        <v>Conversational AI</v>
      </c>
      <c r="D104" t="str">
        <f>_xlfn.XLOOKUP(B104,Sales_Transactions!D$2:D$251,Sales_Transactions!E$2:E$251)</f>
        <v>REP-01</v>
      </c>
      <c r="E104" s="5">
        <v>10450</v>
      </c>
      <c r="F104" s="2" t="s">
        <v>17</v>
      </c>
    </row>
    <row r="105" spans="2:6">
      <c r="B105" s="2" t="s">
        <v>24</v>
      </c>
      <c r="C105" t="str">
        <f>_xlfn.XLOOKUP(B105,Products!$A$2:$A$251,Products!$C$2:$C$251)</f>
        <v>Conversational AI</v>
      </c>
      <c r="D105" t="str">
        <f>_xlfn.XLOOKUP(B105,Sales_Transactions!D$2:D$251,Sales_Transactions!E$2:E$251)</f>
        <v>REP-04</v>
      </c>
      <c r="E105" s="5" t="s">
        <v>17</v>
      </c>
      <c r="F105" s="2" t="s">
        <v>18</v>
      </c>
    </row>
    <row r="106" spans="2:6">
      <c r="B106" s="2" t="s">
        <v>72</v>
      </c>
      <c r="C106" t="str">
        <f>_xlfn.XLOOKUP(B106,Products!$A$2:$A$251,Products!$C$2:$C$251)</f>
        <v>Generative AI</v>
      </c>
      <c r="D106" t="str">
        <f>_xlfn.XLOOKUP(B106,Sales_Transactions!D$2:D$251,Sales_Transactions!E$2:E$251)</f>
        <v>REP-11</v>
      </c>
      <c r="E106" s="5">
        <v>4750</v>
      </c>
      <c r="F106" s="2" t="s">
        <v>98</v>
      </c>
    </row>
    <row r="107" spans="2:6">
      <c r="B107" s="2" t="s">
        <v>52</v>
      </c>
      <c r="C107" t="str">
        <f>_xlfn.XLOOKUP(B107,Products!$A$2:$A$251,Products!$C$2:$C$251)</f>
        <v>Security AI</v>
      </c>
      <c r="D107" t="str">
        <f>_xlfn.XLOOKUP(B107,Sales_Transactions!D$2:D$251,Sales_Transactions!E$2:E$251)</f>
        <v>REP-03</v>
      </c>
      <c r="E107" s="5">
        <v>-1900</v>
      </c>
      <c r="F107" s="2" t="s">
        <v>98</v>
      </c>
    </row>
    <row r="108" spans="2:6">
      <c r="B108" s="2" t="s">
        <v>72</v>
      </c>
      <c r="C108" t="str">
        <f>_xlfn.XLOOKUP(B108,Products!$A$2:$A$251,Products!$C$2:$C$251)</f>
        <v>Generative AI</v>
      </c>
      <c r="D108" t="str">
        <f>_xlfn.XLOOKUP(B108,Sales_Transactions!D$2:D$251,Sales_Transactions!E$2:E$251)</f>
        <v>REP-11</v>
      </c>
      <c r="E108" s="5">
        <v>0</v>
      </c>
      <c r="F108" s="2" t="s">
        <v>54</v>
      </c>
    </row>
    <row r="109" spans="2:6">
      <c r="B109" s="2" t="s">
        <v>68</v>
      </c>
      <c r="C109" t="str">
        <f>_xlfn.XLOOKUP(B109,Products!$A$2:$A$251,Products!$C$2:$C$251)</f>
        <v>Sales AI</v>
      </c>
      <c r="D109" t="str">
        <f>_xlfn.XLOOKUP(B109,Sales_Transactions!D$2:D$251,Sales_Transactions!E$2:E$251)</f>
        <v>REP-09</v>
      </c>
      <c r="E109" s="5" t="s">
        <v>17</v>
      </c>
      <c r="F109" s="2" t="s">
        <v>18</v>
      </c>
    </row>
    <row r="110" spans="2:6">
      <c r="B110" s="2" t="s">
        <v>79</v>
      </c>
      <c r="C110" t="str">
        <f>_xlfn.XLOOKUP(B110,Products!$A$2:$A$251,Products!$C$2:$C$251)</f>
        <v>Analytics AI</v>
      </c>
      <c r="D110" t="str">
        <f>_xlfn.XLOOKUP(B110,Sales_Transactions!D$2:D$251,Sales_Transactions!E$2:E$251)</f>
        <v>REP-11</v>
      </c>
      <c r="E110" s="5" t="s">
        <v>17</v>
      </c>
      <c r="F110" s="2" t="s">
        <v>60</v>
      </c>
    </row>
    <row r="111" spans="2:6">
      <c r="B111" s="2" t="s">
        <v>57</v>
      </c>
      <c r="C111" t="str">
        <f>_xlfn.XLOOKUP(B111,Products!$A$2:$A$251,Products!$C$2:$C$251)</f>
        <v>Data AI</v>
      </c>
      <c r="D111" t="str">
        <f>_xlfn.XLOOKUP(B111,Sales_Transactions!D$2:D$251,Sales_Transactions!E$2:E$251)</f>
        <v>REP-12</v>
      </c>
      <c r="E111" s="5">
        <v>8000</v>
      </c>
      <c r="F111" s="2" t="s">
        <v>17</v>
      </c>
    </row>
    <row r="112" spans="2:6">
      <c r="B112" s="2" t="s">
        <v>36</v>
      </c>
      <c r="C112" t="str">
        <f>_xlfn.XLOOKUP(B112,Products!$A$2:$A$251,Products!$C$2:$C$251)</f>
        <v>Conversational AI</v>
      </c>
      <c r="D112" t="str">
        <f>_xlfn.XLOOKUP(B112,Sales_Transactions!D$2:D$251,Sales_Transactions!E$2:E$251)</f>
        <v>REP-01</v>
      </c>
      <c r="E112" s="5">
        <v>4400</v>
      </c>
      <c r="F112" s="2" t="s">
        <v>26</v>
      </c>
    </row>
    <row r="113" spans="2:6">
      <c r="B113" s="2" t="s">
        <v>36</v>
      </c>
      <c r="C113" t="str">
        <f>_xlfn.XLOOKUP(B113,Products!$A$2:$A$251,Products!$C$2:$C$251)</f>
        <v>Conversational AI</v>
      </c>
      <c r="D113" t="str">
        <f>_xlfn.XLOOKUP(B113,Sales_Transactions!D$2:D$251,Sales_Transactions!E$2:E$251)</f>
        <v>REP-01</v>
      </c>
      <c r="E113" s="5" t="s">
        <v>17</v>
      </c>
      <c r="F113" s="2" t="s">
        <v>98</v>
      </c>
    </row>
    <row r="114" spans="2:6">
      <c r="B114" s="2" t="s">
        <v>68</v>
      </c>
      <c r="C114" t="str">
        <f>_xlfn.XLOOKUP(B114,Products!$A$2:$A$251,Products!$C$2:$C$251)</f>
        <v>Sales AI</v>
      </c>
      <c r="D114" t="str">
        <f>_xlfn.XLOOKUP(B114,Sales_Transactions!D$2:D$251,Sales_Transactions!E$2:E$251)</f>
        <v>REP-09</v>
      </c>
      <c r="E114" s="5" t="s">
        <v>17</v>
      </c>
      <c r="F114" s="2" t="s">
        <v>98</v>
      </c>
    </row>
    <row r="115" spans="2:6">
      <c r="B115" s="2" t="s">
        <v>91</v>
      </c>
      <c r="C115" t="str">
        <f>_xlfn.XLOOKUP(B115,Products!$A$2:$A$251,Products!$C$2:$C$251)</f>
        <v>HR AI</v>
      </c>
      <c r="D115" t="str">
        <f>_xlfn.XLOOKUP(B115,Sales_Transactions!D$2:D$251,Sales_Transactions!E$2:E$251)</f>
        <v>REP-09</v>
      </c>
      <c r="E115" s="5">
        <v>1260</v>
      </c>
      <c r="F115" s="2" t="s">
        <v>18</v>
      </c>
    </row>
    <row r="116" spans="2:6">
      <c r="B116" s="2" t="s">
        <v>79</v>
      </c>
      <c r="C116" t="str">
        <f>_xlfn.XLOOKUP(B116,Products!$A$2:$A$251,Products!$C$2:$C$251)</f>
        <v>Analytics AI</v>
      </c>
      <c r="D116" t="str">
        <f>_xlfn.XLOOKUP(B116,Sales_Transactions!D$2:D$251,Sales_Transactions!E$2:E$251)</f>
        <v>REP-11</v>
      </c>
      <c r="E116" s="5">
        <v>1900</v>
      </c>
      <c r="F116" s="2" t="s">
        <v>54</v>
      </c>
    </row>
    <row r="117" spans="2:6">
      <c r="B117" s="2" t="s">
        <v>68</v>
      </c>
      <c r="C117" t="str">
        <f>_xlfn.XLOOKUP(B117,Products!$A$2:$A$251,Products!$C$2:$C$251)</f>
        <v>Sales AI</v>
      </c>
      <c r="D117" t="str">
        <f>_xlfn.XLOOKUP(B117,Sales_Transactions!D$2:D$251,Sales_Transactions!E$2:E$251)</f>
        <v>REP-09</v>
      </c>
      <c r="E117" s="5">
        <v>1020</v>
      </c>
      <c r="F117" s="2" t="s">
        <v>54</v>
      </c>
    </row>
    <row r="118" spans="2:6">
      <c r="B118" s="2" t="s">
        <v>41</v>
      </c>
      <c r="C118" t="str">
        <f>_xlfn.XLOOKUP(B118,Products!$A$2:$A$251,Products!$C$2:$C$251)</f>
        <v>Conversational AI</v>
      </c>
      <c r="D118" t="str">
        <f>_xlfn.XLOOKUP(B118,Sales_Transactions!D$2:D$251,Sales_Transactions!E$2:E$251)</f>
        <v>REP-02</v>
      </c>
      <c r="E118" s="5" t="s">
        <v>17</v>
      </c>
      <c r="F118" s="2" t="s">
        <v>98</v>
      </c>
    </row>
    <row r="119" spans="2:6">
      <c r="B119" s="2" t="s">
        <v>57</v>
      </c>
      <c r="C119" t="str">
        <f>_xlfn.XLOOKUP(B119,Products!$A$2:$A$251,Products!$C$2:$C$251)</f>
        <v>Data AI</v>
      </c>
      <c r="D119" t="str">
        <f>_xlfn.XLOOKUP(B119,Sales_Transactions!D$2:D$251,Sales_Transactions!E$2:E$251)</f>
        <v>REP-12</v>
      </c>
      <c r="E119" s="5" t="s">
        <v>17</v>
      </c>
      <c r="F119" s="2" t="s">
        <v>60</v>
      </c>
    </row>
    <row r="120" spans="2:6">
      <c r="B120" s="2" t="s">
        <v>79</v>
      </c>
      <c r="C120" t="str">
        <f>_xlfn.XLOOKUP(B120,Products!$A$2:$A$251,Products!$C$2:$C$251)</f>
        <v>Analytics AI</v>
      </c>
      <c r="D120" t="str">
        <f>_xlfn.XLOOKUP(B120,Sales_Transactions!D$2:D$251,Sales_Transactions!E$2:E$251)</f>
        <v>REP-11</v>
      </c>
      <c r="E120" s="5">
        <v>4037.5</v>
      </c>
      <c r="F120" s="2" t="s">
        <v>18</v>
      </c>
    </row>
    <row r="121" spans="2:6">
      <c r="B121" s="2" t="s">
        <v>91</v>
      </c>
      <c r="C121" t="str">
        <f>_xlfn.XLOOKUP(B121,Products!$A$2:$A$251,Products!$C$2:$C$251)</f>
        <v>HR AI</v>
      </c>
      <c r="D121" t="str">
        <f>_xlfn.XLOOKUP(B121,Sales_Transactions!D$2:D$251,Sales_Transactions!E$2:E$251)</f>
        <v>REP-09</v>
      </c>
      <c r="E121" s="5">
        <v>1400</v>
      </c>
      <c r="F121" s="2" t="s">
        <v>18</v>
      </c>
    </row>
    <row r="122" spans="2:6">
      <c r="B122" s="2" t="s">
        <v>24</v>
      </c>
      <c r="C122" t="str">
        <f>_xlfn.XLOOKUP(B122,Products!$A$2:$A$251,Products!$C$2:$C$251)</f>
        <v>Conversational AI</v>
      </c>
      <c r="D122" t="str">
        <f>_xlfn.XLOOKUP(B122,Sales_Transactions!D$2:D$251,Sales_Transactions!E$2:E$251)</f>
        <v>REP-04</v>
      </c>
      <c r="E122" s="5">
        <v>640</v>
      </c>
      <c r="F122" s="2" t="s">
        <v>17</v>
      </c>
    </row>
    <row r="123" spans="2:6">
      <c r="B123" s="2" t="s">
        <v>57</v>
      </c>
      <c r="C123" t="str">
        <f>_xlfn.XLOOKUP(B123,Products!$A$2:$A$251,Products!$C$2:$C$251)</f>
        <v>Data AI</v>
      </c>
      <c r="D123" t="str">
        <f>_xlfn.XLOOKUP(B123,Sales_Transactions!D$2:D$251,Sales_Transactions!E$2:E$251)</f>
        <v>REP-12</v>
      </c>
      <c r="E123" s="5">
        <v>-1900</v>
      </c>
      <c r="F123" s="2" t="s">
        <v>17</v>
      </c>
    </row>
    <row r="124" spans="2:6">
      <c r="B124" s="2" t="s">
        <v>91</v>
      </c>
      <c r="C124" t="str">
        <f>_xlfn.XLOOKUP(B124,Products!$A$2:$A$251,Products!$C$2:$C$251)</f>
        <v>HR AI</v>
      </c>
      <c r="D124" t="str">
        <f>_xlfn.XLOOKUP(B124,Sales_Transactions!D$2:D$251,Sales_Transactions!E$2:E$251)</f>
        <v>REP-09</v>
      </c>
      <c r="E124" s="5" t="s">
        <v>17</v>
      </c>
      <c r="F124" s="2" t="s">
        <v>54</v>
      </c>
    </row>
    <row r="125" spans="2:6">
      <c r="B125" s="2" t="s">
        <v>31</v>
      </c>
      <c r="C125" t="str">
        <f>_xlfn.XLOOKUP(B125,Products!$A$2:$A$251,Products!$C$2:$C$251)</f>
        <v>Sales AI</v>
      </c>
      <c r="D125" t="str">
        <f>_xlfn.XLOOKUP(B125,Sales_Transactions!D$2:D$251,Sales_Transactions!E$2:E$251)</f>
        <v>REP-04</v>
      </c>
      <c r="E125" s="5" t="s">
        <v>17</v>
      </c>
      <c r="F125" s="2" t="s">
        <v>54</v>
      </c>
    </row>
    <row r="126" spans="2:6">
      <c r="B126" s="2" t="s">
        <v>41</v>
      </c>
      <c r="C126" t="str">
        <f>_xlfn.XLOOKUP(B126,Products!$A$2:$A$251,Products!$C$2:$C$251)</f>
        <v>Conversational AI</v>
      </c>
      <c r="D126" t="str">
        <f>_xlfn.XLOOKUP(B126,Sales_Transactions!D$2:D$251,Sales_Transactions!E$2:E$251)</f>
        <v>REP-02</v>
      </c>
      <c r="E126" s="5">
        <v>3600</v>
      </c>
      <c r="F126" s="2" t="s">
        <v>98</v>
      </c>
    </row>
    <row r="127" spans="2:6">
      <c r="B127" s="2" t="s">
        <v>52</v>
      </c>
      <c r="C127" t="str">
        <f>_xlfn.XLOOKUP(B127,Products!$A$2:$A$251,Products!$C$2:$C$251)</f>
        <v>Security AI</v>
      </c>
      <c r="D127" t="str">
        <f>_xlfn.XLOOKUP(B127,Sales_Transactions!D$2:D$251,Sales_Transactions!E$2:E$251)</f>
        <v>REP-03</v>
      </c>
      <c r="E127" s="5">
        <v>7220</v>
      </c>
      <c r="F127" s="2" t="s">
        <v>54</v>
      </c>
    </row>
    <row r="128" spans="2:6">
      <c r="B128" s="2" t="s">
        <v>63</v>
      </c>
      <c r="C128" t="str">
        <f>_xlfn.XLOOKUP(B128,Products!$A$2:$A$251,Products!$C$2:$C$251)</f>
        <v>Computer Vision</v>
      </c>
      <c r="D128" t="str">
        <f>_xlfn.XLOOKUP(B128,Sales_Transactions!D$2:D$251,Sales_Transactions!E$2:E$251)</f>
        <v>REP-03</v>
      </c>
      <c r="E128" s="5" t="s">
        <v>17</v>
      </c>
      <c r="F128" s="2" t="s">
        <v>18</v>
      </c>
    </row>
    <row r="129" spans="2:6">
      <c r="B129" s="2" t="s">
        <v>79</v>
      </c>
      <c r="C129" t="str">
        <f>_xlfn.XLOOKUP(B129,Products!$A$2:$A$251,Products!$C$2:$C$251)</f>
        <v>Analytics AI</v>
      </c>
      <c r="D129" t="str">
        <f>_xlfn.XLOOKUP(B129,Sales_Transactions!D$2:D$251,Sales_Transactions!E$2:E$251)</f>
        <v>REP-11</v>
      </c>
      <c r="E129" s="5" t="s">
        <v>17</v>
      </c>
      <c r="F129" s="2" t="s">
        <v>98</v>
      </c>
    </row>
    <row r="130" spans="2:6">
      <c r="B130" s="2" t="s">
        <v>36</v>
      </c>
      <c r="C130" t="str">
        <f>_xlfn.XLOOKUP(B130,Products!$A$2:$A$251,Products!$C$2:$C$251)</f>
        <v>Conversational AI</v>
      </c>
      <c r="D130" t="str">
        <f>_xlfn.XLOOKUP(B130,Sales_Transactions!D$2:D$251,Sales_Transactions!E$2:E$251)</f>
        <v>REP-01</v>
      </c>
      <c r="E130" s="5" t="s">
        <v>17</v>
      </c>
      <c r="F130" s="2" t="s">
        <v>26</v>
      </c>
    </row>
    <row r="131" spans="2:6">
      <c r="B131" s="2" t="s">
        <v>68</v>
      </c>
      <c r="C131" t="str">
        <f>_xlfn.XLOOKUP(B131,Products!$A$2:$A$251,Products!$C$2:$C$251)</f>
        <v>Sales AI</v>
      </c>
      <c r="D131" t="str">
        <f>_xlfn.XLOOKUP(B131,Sales_Transactions!D$2:D$251,Sales_Transactions!E$2:E$251)</f>
        <v>REP-09</v>
      </c>
      <c r="E131" s="5">
        <v>3420</v>
      </c>
      <c r="F131" s="2" t="s">
        <v>26</v>
      </c>
    </row>
    <row r="132" spans="2:6">
      <c r="B132" s="2" t="s">
        <v>41</v>
      </c>
      <c r="C132" t="str">
        <f>_xlfn.XLOOKUP(B132,Products!$A$2:$A$251,Products!$C$2:$C$251)</f>
        <v>Conversational AI</v>
      </c>
      <c r="D132" t="str">
        <f>_xlfn.XLOOKUP(B132,Sales_Transactions!D$2:D$251,Sales_Transactions!E$2:E$251)</f>
        <v>REP-02</v>
      </c>
      <c r="E132" s="5" t="s">
        <v>17</v>
      </c>
      <c r="F132" s="2" t="s">
        <v>98</v>
      </c>
    </row>
    <row r="133" spans="2:6">
      <c r="B133" s="2" t="s">
        <v>24</v>
      </c>
      <c r="C133" t="str">
        <f>_xlfn.XLOOKUP(B133,Products!$A$2:$A$251,Products!$C$2:$C$251)</f>
        <v>Conversational AI</v>
      </c>
      <c r="D133" t="str">
        <f>_xlfn.XLOOKUP(B133,Sales_Transactions!D$2:D$251,Sales_Transactions!E$2:E$251)</f>
        <v>REP-04</v>
      </c>
      <c r="E133" s="5">
        <v>360</v>
      </c>
      <c r="F133" s="2" t="s">
        <v>98</v>
      </c>
    </row>
    <row r="134" spans="2:6">
      <c r="B134" s="2" t="s">
        <v>91</v>
      </c>
      <c r="C134" t="str">
        <f>_xlfn.XLOOKUP(B134,Products!$A$2:$A$251,Products!$C$2:$C$251)</f>
        <v>HR AI</v>
      </c>
      <c r="D134" t="str">
        <f>_xlfn.XLOOKUP(B134,Sales_Transactions!D$2:D$251,Sales_Transactions!E$2:E$251)</f>
        <v>REP-09</v>
      </c>
      <c r="E134" s="5" t="s">
        <v>17</v>
      </c>
      <c r="F134" s="2" t="s">
        <v>98</v>
      </c>
    </row>
    <row r="135" spans="2:6">
      <c r="B135" s="2" t="s">
        <v>91</v>
      </c>
      <c r="C135" t="str">
        <f>_xlfn.XLOOKUP(B135,Products!$A$2:$A$251,Products!$C$2:$C$251)</f>
        <v>HR AI</v>
      </c>
      <c r="D135" t="str">
        <f>_xlfn.XLOOKUP(B135,Sales_Transactions!D$2:D$251,Sales_Transactions!E$2:E$251)</f>
        <v>REP-09</v>
      </c>
      <c r="E135" s="5">
        <v>5950</v>
      </c>
      <c r="F135" s="2" t="s">
        <v>18</v>
      </c>
    </row>
    <row r="136" spans="2:6">
      <c r="B136" s="2" t="s">
        <v>63</v>
      </c>
      <c r="C136" t="str">
        <f>_xlfn.XLOOKUP(B136,Products!$A$2:$A$251,Products!$C$2:$C$251)</f>
        <v>Computer Vision</v>
      </c>
      <c r="D136" t="str">
        <f>_xlfn.XLOOKUP(B136,Sales_Transactions!D$2:D$251,Sales_Transactions!E$2:E$251)</f>
        <v>REP-03</v>
      </c>
      <c r="E136" s="5" t="s">
        <v>17</v>
      </c>
      <c r="F136" s="2" t="s">
        <v>18</v>
      </c>
    </row>
    <row r="137" spans="2:6">
      <c r="B137" s="2" t="s">
        <v>24</v>
      </c>
      <c r="C137" t="str">
        <f>_xlfn.XLOOKUP(B137,Products!$A$2:$A$251,Products!$C$2:$C$251)</f>
        <v>Conversational AI</v>
      </c>
      <c r="D137" t="str">
        <f>_xlfn.XLOOKUP(B137,Sales_Transactions!D$2:D$251,Sales_Transactions!E$2:E$251)</f>
        <v>REP-04</v>
      </c>
      <c r="E137" s="5">
        <v>0</v>
      </c>
      <c r="F137" s="2" t="s">
        <v>18</v>
      </c>
    </row>
    <row r="138" spans="2:6">
      <c r="B138" s="2" t="s">
        <v>57</v>
      </c>
      <c r="C138" t="str">
        <f>_xlfn.XLOOKUP(B138,Products!$A$2:$A$251,Products!$C$2:$C$251)</f>
        <v>Data AI</v>
      </c>
      <c r="D138" t="str">
        <f>_xlfn.XLOOKUP(B138,Sales_Transactions!D$2:D$251,Sales_Transactions!E$2:E$251)</f>
        <v>REP-12</v>
      </c>
      <c r="E138" s="5">
        <v>-1600</v>
      </c>
      <c r="F138" s="2" t="s">
        <v>54</v>
      </c>
    </row>
    <row r="139" spans="2:6">
      <c r="B139" s="2" t="s">
        <v>91</v>
      </c>
      <c r="C139" t="str">
        <f>_xlfn.XLOOKUP(B139,Products!$A$2:$A$251,Products!$C$2:$C$251)</f>
        <v>HR AI</v>
      </c>
      <c r="D139" t="str">
        <f>_xlfn.XLOOKUP(B139,Sales_Transactions!D$2:D$251,Sales_Transactions!E$2:E$251)</f>
        <v>REP-09</v>
      </c>
      <c r="E139" s="5" t="s">
        <v>17</v>
      </c>
      <c r="F139" s="2" t="s">
        <v>18</v>
      </c>
    </row>
    <row r="140" spans="2:6">
      <c r="B140" s="2" t="s">
        <v>68</v>
      </c>
      <c r="C140" t="str">
        <f>_xlfn.XLOOKUP(B140,Products!$A$2:$A$251,Products!$C$2:$C$251)</f>
        <v>Sales AI</v>
      </c>
      <c r="D140" t="str">
        <f>_xlfn.XLOOKUP(B140,Sales_Transactions!D$2:D$251,Sales_Transactions!E$2:E$251)</f>
        <v>REP-09</v>
      </c>
      <c r="E140" s="5">
        <v>11400</v>
      </c>
      <c r="F140" s="2" t="s">
        <v>98</v>
      </c>
    </row>
    <row r="141" spans="2:6">
      <c r="B141" s="2" t="s">
        <v>36</v>
      </c>
      <c r="C141" t="str">
        <f>_xlfn.XLOOKUP(B141,Products!$A$2:$A$251,Products!$C$2:$C$251)</f>
        <v>Conversational AI</v>
      </c>
      <c r="D141" t="str">
        <f>_xlfn.XLOOKUP(B141,Sales_Transactions!D$2:D$251,Sales_Transactions!E$2:E$251)</f>
        <v>REP-01</v>
      </c>
      <c r="E141" s="5">
        <v>3135</v>
      </c>
      <c r="F141" s="2" t="s">
        <v>60</v>
      </c>
    </row>
    <row r="142" spans="2:6">
      <c r="B142" s="2" t="s">
        <v>24</v>
      </c>
      <c r="C142" t="str">
        <f>_xlfn.XLOOKUP(B142,Products!$A$2:$A$251,Products!$C$2:$C$251)</f>
        <v>Conversational AI</v>
      </c>
      <c r="D142" t="str">
        <f>_xlfn.XLOOKUP(B142,Sales_Transactions!D$2:D$251,Sales_Transactions!E$2:E$251)</f>
        <v>REP-04</v>
      </c>
      <c r="E142" s="5">
        <v>640</v>
      </c>
      <c r="F142" s="2" t="s">
        <v>54</v>
      </c>
    </row>
    <row r="143" spans="2:6">
      <c r="B143" s="2" t="s">
        <v>24</v>
      </c>
      <c r="C143" t="str">
        <f>_xlfn.XLOOKUP(B143,Products!$A$2:$A$251,Products!$C$2:$C$251)</f>
        <v>Conversational AI</v>
      </c>
      <c r="D143" t="str">
        <f>_xlfn.XLOOKUP(B143,Sales_Transactions!D$2:D$251,Sales_Transactions!E$2:E$251)</f>
        <v>REP-04</v>
      </c>
      <c r="E143" s="5">
        <v>-320</v>
      </c>
      <c r="F143" s="2" t="s">
        <v>18</v>
      </c>
    </row>
    <row r="144" spans="2:6">
      <c r="B144" s="2" t="s">
        <v>57</v>
      </c>
      <c r="C144" t="str">
        <f>_xlfn.XLOOKUP(B144,Products!$A$2:$A$251,Products!$C$2:$C$251)</f>
        <v>Data AI</v>
      </c>
      <c r="D144" t="str">
        <f>_xlfn.XLOOKUP(B144,Sales_Transactions!D$2:D$251,Sales_Transactions!E$2:E$251)</f>
        <v>REP-12</v>
      </c>
      <c r="E144" s="5" t="s">
        <v>17</v>
      </c>
      <c r="F144" s="2" t="s">
        <v>18</v>
      </c>
    </row>
    <row r="145" spans="2:6">
      <c r="B145" s="2" t="s">
        <v>91</v>
      </c>
      <c r="C145" t="str">
        <f>_xlfn.XLOOKUP(B145,Products!$A$2:$A$251,Products!$C$2:$C$251)</f>
        <v>HR AI</v>
      </c>
      <c r="D145" t="str">
        <f>_xlfn.XLOOKUP(B145,Sales_Transactions!D$2:D$251,Sales_Transactions!E$2:E$251)</f>
        <v>REP-09</v>
      </c>
      <c r="E145" s="5">
        <v>1995</v>
      </c>
      <c r="F145" s="2" t="s">
        <v>18</v>
      </c>
    </row>
    <row r="146" spans="2:6">
      <c r="B146" s="2" t="s">
        <v>72</v>
      </c>
      <c r="C146" t="str">
        <f>_xlfn.XLOOKUP(B146,Products!$A$2:$A$251,Products!$C$2:$C$251)</f>
        <v>Generative AI</v>
      </c>
      <c r="D146" t="str">
        <f>_xlfn.XLOOKUP(B146,Sales_Transactions!D$2:D$251,Sales_Transactions!E$2:E$251)</f>
        <v>REP-11</v>
      </c>
      <c r="E146" s="5">
        <v>1600</v>
      </c>
      <c r="F146" s="2" t="s">
        <v>54</v>
      </c>
    </row>
    <row r="147" spans="2:6">
      <c r="B147" s="2" t="s">
        <v>72</v>
      </c>
      <c r="C147" t="str">
        <f>_xlfn.XLOOKUP(B147,Products!$A$2:$A$251,Products!$C$2:$C$251)</f>
        <v>Generative AI</v>
      </c>
      <c r="D147" t="str">
        <f>_xlfn.XLOOKUP(B147,Sales_Transactions!D$2:D$251,Sales_Transactions!E$2:E$251)</f>
        <v>REP-11</v>
      </c>
      <c r="E147" s="5" t="s">
        <v>17</v>
      </c>
      <c r="F147" s="2" t="s">
        <v>98</v>
      </c>
    </row>
    <row r="148" spans="2:6">
      <c r="B148" s="2" t="s">
        <v>57</v>
      </c>
      <c r="C148" t="str">
        <f>_xlfn.XLOOKUP(B148,Products!$A$2:$A$251,Products!$C$2:$C$251)</f>
        <v>Data AI</v>
      </c>
      <c r="D148" t="str">
        <f>_xlfn.XLOOKUP(B148,Sales_Transactions!D$2:D$251,Sales_Transactions!E$2:E$251)</f>
        <v>REP-12</v>
      </c>
      <c r="E148" s="5" t="s">
        <v>17</v>
      </c>
      <c r="F148" s="2" t="s">
        <v>26</v>
      </c>
    </row>
    <row r="149" spans="2:6">
      <c r="B149" s="2" t="s">
        <v>91</v>
      </c>
      <c r="C149" t="str">
        <f>_xlfn.XLOOKUP(B149,Products!$A$2:$A$251,Products!$C$2:$C$251)</f>
        <v>HR AI</v>
      </c>
      <c r="D149" t="str">
        <f>_xlfn.XLOOKUP(B149,Sales_Transactions!D$2:D$251,Sales_Transactions!E$2:E$251)</f>
        <v>REP-09</v>
      </c>
      <c r="E149" s="5">
        <v>3150</v>
      </c>
      <c r="F149" s="2" t="s">
        <v>17</v>
      </c>
    </row>
    <row r="150" spans="2:6">
      <c r="B150" s="2" t="s">
        <v>41</v>
      </c>
      <c r="C150" t="str">
        <f>_xlfn.XLOOKUP(B150,Products!$A$2:$A$251,Products!$C$2:$C$251)</f>
        <v>Conversational AI</v>
      </c>
      <c r="D150" t="str">
        <f>_xlfn.XLOOKUP(B150,Sales_Transactions!D$2:D$251,Sales_Transactions!E$2:E$251)</f>
        <v>REP-02</v>
      </c>
      <c r="E150" s="5" t="s">
        <v>17</v>
      </c>
      <c r="F150" s="2" t="s">
        <v>18</v>
      </c>
    </row>
    <row r="151" spans="2:6">
      <c r="B151" s="2" t="s">
        <v>63</v>
      </c>
      <c r="C151" t="str">
        <f>_xlfn.XLOOKUP(B151,Products!$A$2:$A$251,Products!$C$2:$C$251)</f>
        <v>Computer Vision</v>
      </c>
      <c r="D151" t="str">
        <f>_xlfn.XLOOKUP(B151,Sales_Transactions!D$2:D$251,Sales_Transactions!E$2:E$251)</f>
        <v>REP-03</v>
      </c>
      <c r="E151" s="5">
        <v>0</v>
      </c>
      <c r="F151" s="2" t="s">
        <v>98</v>
      </c>
    </row>
    <row r="152" spans="2:6">
      <c r="B152" s="2" t="s">
        <v>52</v>
      </c>
      <c r="C152" t="str">
        <f>_xlfn.XLOOKUP(B152,Products!$A$2:$A$251,Products!$C$2:$C$251)</f>
        <v>Security AI</v>
      </c>
      <c r="D152" t="str">
        <f>_xlfn.XLOOKUP(B152,Sales_Transactions!D$2:D$251,Sales_Transactions!E$2:E$251)</f>
        <v>REP-03</v>
      </c>
      <c r="E152" s="5" t="s">
        <v>17</v>
      </c>
      <c r="F152" s="2" t="s">
        <v>26</v>
      </c>
    </row>
    <row r="153" spans="2:6">
      <c r="B153" s="2" t="s">
        <v>41</v>
      </c>
      <c r="C153" t="str">
        <f>_xlfn.XLOOKUP(B153,Products!$A$2:$A$251,Products!$C$2:$C$251)</f>
        <v>Conversational AI</v>
      </c>
      <c r="D153" t="str">
        <f>_xlfn.XLOOKUP(B153,Sales_Transactions!D$2:D$251,Sales_Transactions!E$2:E$251)</f>
        <v>REP-02</v>
      </c>
      <c r="E153" s="5">
        <v>15000</v>
      </c>
      <c r="F153" s="2" t="s">
        <v>60</v>
      </c>
    </row>
    <row r="154" spans="2:6">
      <c r="B154" s="2" t="s">
        <v>79</v>
      </c>
      <c r="C154" t="str">
        <f>_xlfn.XLOOKUP(B154,Products!$A$2:$A$251,Products!$C$2:$C$251)</f>
        <v>Analytics AI</v>
      </c>
      <c r="D154" t="str">
        <f>_xlfn.XLOOKUP(B154,Sales_Transactions!D$2:D$251,Sales_Transactions!E$2:E$251)</f>
        <v>REP-11</v>
      </c>
      <c r="E154" s="5">
        <v>7600</v>
      </c>
      <c r="F154" s="2" t="s">
        <v>98</v>
      </c>
    </row>
    <row r="155" spans="2:6">
      <c r="B155" s="2" t="s">
        <v>91</v>
      </c>
      <c r="C155" t="str">
        <f>_xlfn.XLOOKUP(B155,Products!$A$2:$A$251,Products!$C$2:$C$251)</f>
        <v>HR AI</v>
      </c>
      <c r="D155" t="str">
        <f>_xlfn.XLOOKUP(B155,Sales_Transactions!D$2:D$251,Sales_Transactions!E$2:E$251)</f>
        <v>REP-09</v>
      </c>
      <c r="E155" s="5" t="s">
        <v>17</v>
      </c>
      <c r="F155" s="2" t="s">
        <v>60</v>
      </c>
    </row>
    <row r="156" spans="2:6">
      <c r="B156" s="2" t="s">
        <v>63</v>
      </c>
      <c r="C156" t="str">
        <f>_xlfn.XLOOKUP(B156,Products!$A$2:$A$251,Products!$C$2:$C$251)</f>
        <v>Computer Vision</v>
      </c>
      <c r="D156" t="str">
        <f>_xlfn.XLOOKUP(B156,Sales_Transactions!D$2:D$251,Sales_Transactions!E$2:E$251)</f>
        <v>REP-03</v>
      </c>
      <c r="E156" s="5">
        <v>2090</v>
      </c>
      <c r="F156" s="2" t="s">
        <v>26</v>
      </c>
    </row>
    <row r="157" spans="2:6">
      <c r="B157" s="2" t="s">
        <v>41</v>
      </c>
      <c r="C157" t="str">
        <f>_xlfn.XLOOKUP(B157,Products!$A$2:$A$251,Products!$C$2:$C$251)</f>
        <v>Conversational AI</v>
      </c>
      <c r="D157" t="str">
        <f>_xlfn.XLOOKUP(B157,Sales_Transactions!D$2:D$251,Sales_Transactions!E$2:E$251)</f>
        <v>REP-02</v>
      </c>
      <c r="E157" s="5" t="s">
        <v>17</v>
      </c>
      <c r="F157" s="2" t="s">
        <v>54</v>
      </c>
    </row>
    <row r="158" spans="2:6">
      <c r="B158" s="2" t="s">
        <v>57</v>
      </c>
      <c r="C158" t="str">
        <f>_xlfn.XLOOKUP(B158,Products!$A$2:$A$251,Products!$C$2:$C$251)</f>
        <v>Data AI</v>
      </c>
      <c r="D158" t="str">
        <f>_xlfn.XLOOKUP(B158,Sales_Transactions!D$2:D$251,Sales_Transactions!E$2:E$251)</f>
        <v>REP-12</v>
      </c>
      <c r="E158" s="5" t="s">
        <v>17</v>
      </c>
      <c r="F158" s="2" t="s">
        <v>54</v>
      </c>
    </row>
    <row r="159" spans="2:6">
      <c r="B159" s="2" t="s">
        <v>72</v>
      </c>
      <c r="C159" t="str">
        <f>_xlfn.XLOOKUP(B159,Products!$A$2:$A$251,Products!$C$2:$C$251)</f>
        <v>Generative AI</v>
      </c>
      <c r="D159" t="str">
        <f>_xlfn.XLOOKUP(B159,Sales_Transactions!D$2:D$251,Sales_Transactions!E$2:E$251)</f>
        <v>REP-11</v>
      </c>
      <c r="E159" s="5">
        <v>500</v>
      </c>
      <c r="F159" s="2" t="s">
        <v>26</v>
      </c>
    </row>
    <row r="160" spans="2:6">
      <c r="B160" s="2" t="s">
        <v>15</v>
      </c>
      <c r="C160" t="str">
        <f>_xlfn.XLOOKUP(B160,Products!$A$2:$A$251,Products!$C$2:$C$251)</f>
        <v>Analytics AI</v>
      </c>
      <c r="D160" t="str">
        <f>_xlfn.XLOOKUP(B160,Sales_Transactions!D$2:D$251,Sales_Transactions!E$2:E$251)</f>
        <v>REP-07</v>
      </c>
      <c r="E160" s="5">
        <v>1400</v>
      </c>
      <c r="F160" s="2" t="s">
        <v>18</v>
      </c>
    </row>
    <row r="161" spans="2:6">
      <c r="B161" s="2" t="s">
        <v>63</v>
      </c>
      <c r="C161" t="str">
        <f>_xlfn.XLOOKUP(B161,Products!$A$2:$A$251,Products!$C$2:$C$251)</f>
        <v>Computer Vision</v>
      </c>
      <c r="D161" t="str">
        <f>_xlfn.XLOOKUP(B161,Sales_Transactions!D$2:D$251,Sales_Transactions!E$2:E$251)</f>
        <v>REP-03</v>
      </c>
      <c r="E161" s="5">
        <v>18700</v>
      </c>
      <c r="F161" s="2" t="s">
        <v>26</v>
      </c>
    </row>
    <row r="162" spans="2:6">
      <c r="B162" s="2" t="s">
        <v>36</v>
      </c>
      <c r="C162" t="str">
        <f>_xlfn.XLOOKUP(B162,Products!$A$2:$A$251,Products!$C$2:$C$251)</f>
        <v>Conversational AI</v>
      </c>
      <c r="D162" t="str">
        <f>_xlfn.XLOOKUP(B162,Sales_Transactions!D$2:D$251,Sales_Transactions!E$2:E$251)</f>
        <v>REP-01</v>
      </c>
      <c r="E162" s="5">
        <v>0</v>
      </c>
      <c r="F162" s="2" t="s">
        <v>26</v>
      </c>
    </row>
    <row r="163" spans="2:6">
      <c r="B163" s="2" t="s">
        <v>41</v>
      </c>
      <c r="C163" t="str">
        <f>_xlfn.XLOOKUP(B163,Products!$A$2:$A$251,Products!$C$2:$C$251)</f>
        <v>Conversational AI</v>
      </c>
      <c r="D163" t="str">
        <f>_xlfn.XLOOKUP(B163,Sales_Transactions!D$2:D$251,Sales_Transactions!E$2:E$251)</f>
        <v>REP-02</v>
      </c>
      <c r="E163" s="5">
        <v>4275</v>
      </c>
      <c r="F163" s="2" t="s">
        <v>98</v>
      </c>
    </row>
    <row r="164" spans="2:6">
      <c r="B164" s="2" t="s">
        <v>57</v>
      </c>
      <c r="C164" t="str">
        <f>_xlfn.XLOOKUP(B164,Products!$A$2:$A$251,Products!$C$2:$C$251)</f>
        <v>Data AI</v>
      </c>
      <c r="D164" t="str">
        <f>_xlfn.XLOOKUP(B164,Sales_Transactions!D$2:D$251,Sales_Transactions!E$2:E$251)</f>
        <v>REP-12</v>
      </c>
      <c r="E164" s="5" t="s">
        <v>17</v>
      </c>
      <c r="F164" s="2" t="s">
        <v>18</v>
      </c>
    </row>
    <row r="165" spans="2:6">
      <c r="B165" s="2" t="s">
        <v>72</v>
      </c>
      <c r="C165" t="str">
        <f>_xlfn.XLOOKUP(B165,Products!$A$2:$A$251,Products!$C$2:$C$251)</f>
        <v>Generative AI</v>
      </c>
      <c r="D165" t="str">
        <f>_xlfn.XLOOKUP(B165,Sales_Transactions!D$2:D$251,Sales_Transactions!E$2:E$251)</f>
        <v>REP-11</v>
      </c>
      <c r="E165" s="5" t="s">
        <v>17</v>
      </c>
      <c r="F165" s="2" t="s">
        <v>60</v>
      </c>
    </row>
    <row r="166" spans="2:6">
      <c r="B166" s="2" t="s">
        <v>57</v>
      </c>
      <c r="C166" t="str">
        <f>_xlfn.XLOOKUP(B166,Products!$A$2:$A$251,Products!$C$2:$C$251)</f>
        <v>Data AI</v>
      </c>
      <c r="D166" t="str">
        <f>_xlfn.XLOOKUP(B166,Sales_Transactions!D$2:D$251,Sales_Transactions!E$2:E$251)</f>
        <v>REP-12</v>
      </c>
      <c r="E166" s="5">
        <v>3400</v>
      </c>
      <c r="F166" s="2" t="s">
        <v>98</v>
      </c>
    </row>
    <row r="167" spans="2:6">
      <c r="B167" s="2" t="s">
        <v>79</v>
      </c>
      <c r="C167" t="str">
        <f>_xlfn.XLOOKUP(B167,Products!$A$2:$A$251,Products!$C$2:$C$251)</f>
        <v>Analytics AI</v>
      </c>
      <c r="D167" t="str">
        <f>_xlfn.XLOOKUP(B167,Sales_Transactions!D$2:D$251,Sales_Transactions!E$2:E$251)</f>
        <v>REP-11</v>
      </c>
      <c r="E167" s="5">
        <v>855</v>
      </c>
      <c r="F167" s="2" t="s">
        <v>54</v>
      </c>
    </row>
    <row r="168" spans="2:6">
      <c r="B168" s="2" t="s">
        <v>36</v>
      </c>
      <c r="C168" t="str">
        <f>_xlfn.XLOOKUP(B168,Products!$A$2:$A$251,Products!$C$2:$C$251)</f>
        <v>Conversational AI</v>
      </c>
      <c r="D168" t="str">
        <f>_xlfn.XLOOKUP(B168,Sales_Transactions!D$2:D$251,Sales_Transactions!E$2:E$251)</f>
        <v>REP-01</v>
      </c>
      <c r="E168" s="5" t="s">
        <v>17</v>
      </c>
      <c r="F168" s="2" t="s">
        <v>26</v>
      </c>
    </row>
    <row r="169" spans="2:6">
      <c r="B169" s="2" t="s">
        <v>24</v>
      </c>
      <c r="C169" t="str">
        <f>_xlfn.XLOOKUP(B169,Products!$A$2:$A$251,Products!$C$2:$C$251)</f>
        <v>Conversational AI</v>
      </c>
      <c r="D169" t="str">
        <f>_xlfn.XLOOKUP(B169,Sales_Transactions!D$2:D$251,Sales_Transactions!E$2:E$251)</f>
        <v>REP-04</v>
      </c>
      <c r="E169" s="5">
        <v>2000</v>
      </c>
      <c r="F169" s="2" t="s">
        <v>98</v>
      </c>
    </row>
    <row r="170" spans="2:6">
      <c r="B170" s="2" t="s">
        <v>31</v>
      </c>
      <c r="C170" t="str">
        <f>_xlfn.XLOOKUP(B170,Products!$A$2:$A$251,Products!$C$2:$C$251)</f>
        <v>Sales AI</v>
      </c>
      <c r="D170" t="str">
        <f>_xlfn.XLOOKUP(B170,Sales_Transactions!D$2:D$251,Sales_Transactions!E$2:E$251)</f>
        <v>REP-04</v>
      </c>
      <c r="E170" s="5">
        <v>3800</v>
      </c>
      <c r="F170" s="2" t="s">
        <v>54</v>
      </c>
    </row>
    <row r="171" spans="2:6">
      <c r="B171" s="2" t="s">
        <v>52</v>
      </c>
      <c r="C171" t="str">
        <f>_xlfn.XLOOKUP(B171,Products!$A$2:$A$251,Products!$C$2:$C$251)</f>
        <v>Security AI</v>
      </c>
      <c r="D171" t="str">
        <f>_xlfn.XLOOKUP(B171,Sales_Transactions!D$2:D$251,Sales_Transactions!E$2:E$251)</f>
        <v>REP-03</v>
      </c>
      <c r="E171" s="5" t="s">
        <v>17</v>
      </c>
      <c r="F171" s="2" t="s">
        <v>26</v>
      </c>
    </row>
    <row r="172" spans="2:6">
      <c r="B172" s="2" t="s">
        <v>79</v>
      </c>
      <c r="C172" t="str">
        <f>_xlfn.XLOOKUP(B172,Products!$A$2:$A$251,Products!$C$2:$C$251)</f>
        <v>Analytics AI</v>
      </c>
      <c r="D172" t="str">
        <f>_xlfn.XLOOKUP(B172,Sales_Transactions!D$2:D$251,Sales_Transactions!E$2:E$251)</f>
        <v>REP-11</v>
      </c>
      <c r="E172" s="5">
        <v>760</v>
      </c>
      <c r="F172" s="2" t="s">
        <v>18</v>
      </c>
    </row>
    <row r="173" spans="2:6">
      <c r="B173" s="2" t="s">
        <v>36</v>
      </c>
      <c r="C173" t="str">
        <f>_xlfn.XLOOKUP(B173,Products!$A$2:$A$251,Products!$C$2:$C$251)</f>
        <v>Conversational AI</v>
      </c>
      <c r="D173" t="str">
        <f>_xlfn.XLOOKUP(B173,Sales_Transactions!D$2:D$251,Sales_Transactions!E$2:E$251)</f>
        <v>REP-01</v>
      </c>
      <c r="E173" s="5" t="s">
        <v>17</v>
      </c>
      <c r="F173" s="2" t="s">
        <v>26</v>
      </c>
    </row>
    <row r="174" spans="2:6">
      <c r="B174" s="2" t="s">
        <v>91</v>
      </c>
      <c r="C174" t="str">
        <f>_xlfn.XLOOKUP(B174,Products!$A$2:$A$251,Products!$C$2:$C$251)</f>
        <v>HR AI</v>
      </c>
      <c r="D174" t="str">
        <f>_xlfn.XLOOKUP(B174,Sales_Transactions!D$2:D$251,Sales_Transactions!E$2:E$251)</f>
        <v>REP-09</v>
      </c>
      <c r="E174" s="5" t="s">
        <v>17</v>
      </c>
      <c r="F174" s="2" t="s">
        <v>26</v>
      </c>
    </row>
    <row r="175" spans="2:6">
      <c r="B175" s="2" t="s">
        <v>36</v>
      </c>
      <c r="C175" t="str">
        <f>_xlfn.XLOOKUP(B175,Products!$A$2:$A$251,Products!$C$2:$C$251)</f>
        <v>Conversational AI</v>
      </c>
      <c r="D175" t="str">
        <f>_xlfn.XLOOKUP(B175,Sales_Transactions!D$2:D$251,Sales_Transactions!E$2:E$251)</f>
        <v>REP-01</v>
      </c>
      <c r="E175" s="5">
        <v>3740</v>
      </c>
      <c r="F175" s="2" t="s">
        <v>26</v>
      </c>
    </row>
    <row r="176" spans="2:6">
      <c r="B176" s="2" t="s">
        <v>91</v>
      </c>
      <c r="C176" t="str">
        <f>_xlfn.XLOOKUP(B176,Products!$A$2:$A$251,Products!$C$2:$C$251)</f>
        <v>HR AI</v>
      </c>
      <c r="D176" t="str">
        <f>_xlfn.XLOOKUP(B176,Sales_Transactions!D$2:D$251,Sales_Transactions!E$2:E$251)</f>
        <v>REP-09</v>
      </c>
      <c r="E176" s="5">
        <v>1330</v>
      </c>
      <c r="F176" s="2" t="s">
        <v>18</v>
      </c>
    </row>
    <row r="177" spans="2:6">
      <c r="B177" s="2" t="s">
        <v>79</v>
      </c>
      <c r="C177" t="str">
        <f>_xlfn.XLOOKUP(B177,Products!$A$2:$A$251,Products!$C$2:$C$251)</f>
        <v>Analytics AI</v>
      </c>
      <c r="D177" t="str">
        <f>_xlfn.XLOOKUP(B177,Sales_Transactions!D$2:D$251,Sales_Transactions!E$2:E$251)</f>
        <v>REP-11</v>
      </c>
      <c r="E177" s="5" t="s">
        <v>17</v>
      </c>
      <c r="F177" s="2" t="s">
        <v>98</v>
      </c>
    </row>
    <row r="178" spans="2:6">
      <c r="B178" s="2" t="s">
        <v>63</v>
      </c>
      <c r="C178" t="str">
        <f>_xlfn.XLOOKUP(B178,Products!$A$2:$A$251,Products!$C$2:$C$251)</f>
        <v>Computer Vision</v>
      </c>
      <c r="D178" t="str">
        <f>_xlfn.XLOOKUP(B178,Sales_Transactions!D$2:D$251,Sales_Transactions!E$2:E$251)</f>
        <v>REP-03</v>
      </c>
      <c r="E178" s="5">
        <v>19800</v>
      </c>
      <c r="F178" s="2" t="s">
        <v>54</v>
      </c>
    </row>
    <row r="179" spans="2:6">
      <c r="B179" s="2" t="s">
        <v>31</v>
      </c>
      <c r="C179" t="str">
        <f>_xlfn.XLOOKUP(B179,Products!$A$2:$A$251,Products!$C$2:$C$251)</f>
        <v>Sales AI</v>
      </c>
      <c r="D179" t="str">
        <f>_xlfn.XLOOKUP(B179,Sales_Transactions!D$2:D$251,Sales_Transactions!E$2:E$251)</f>
        <v>REP-04</v>
      </c>
      <c r="E179" s="5">
        <v>6400</v>
      </c>
      <c r="F179" s="2" t="s">
        <v>26</v>
      </c>
    </row>
    <row r="180" spans="2:6">
      <c r="B180" s="2" t="s">
        <v>52</v>
      </c>
      <c r="C180" t="str">
        <f>_xlfn.XLOOKUP(B180,Products!$A$2:$A$251,Products!$C$2:$C$251)</f>
        <v>Security AI</v>
      </c>
      <c r="D180" t="str">
        <f>_xlfn.XLOOKUP(B180,Sales_Transactions!D$2:D$251,Sales_Transactions!E$2:E$251)</f>
        <v>REP-03</v>
      </c>
      <c r="E180" s="5">
        <v>1805</v>
      </c>
      <c r="F180" s="2" t="s">
        <v>54</v>
      </c>
    </row>
    <row r="181" spans="2:6">
      <c r="B181" s="2" t="s">
        <v>68</v>
      </c>
      <c r="C181" t="str">
        <f>_xlfn.XLOOKUP(B181,Products!$A$2:$A$251,Products!$C$2:$C$251)</f>
        <v>Sales AI</v>
      </c>
      <c r="D181" t="str">
        <f>_xlfn.XLOOKUP(B181,Sales_Transactions!D$2:D$251,Sales_Transactions!E$2:E$251)</f>
        <v>REP-09</v>
      </c>
      <c r="E181" s="5">
        <v>4080</v>
      </c>
      <c r="F181" s="2" t="s">
        <v>17</v>
      </c>
    </row>
    <row r="182" spans="2:6">
      <c r="B182" s="2" t="s">
        <v>36</v>
      </c>
      <c r="C182" t="str">
        <f>_xlfn.XLOOKUP(B182,Products!$A$2:$A$251,Products!$C$2:$C$251)</f>
        <v>Conversational AI</v>
      </c>
      <c r="D182" t="str">
        <f>_xlfn.XLOOKUP(B182,Sales_Transactions!D$2:D$251,Sales_Transactions!E$2:E$251)</f>
        <v>REP-01</v>
      </c>
      <c r="E182" s="5" t="s">
        <v>17</v>
      </c>
      <c r="F182" s="2" t="s">
        <v>17</v>
      </c>
    </row>
    <row r="183" spans="2:6">
      <c r="B183" s="2" t="s">
        <v>52</v>
      </c>
      <c r="C183" t="str">
        <f>_xlfn.XLOOKUP(B183,Products!$A$2:$A$251,Products!$C$2:$C$251)</f>
        <v>Security AI</v>
      </c>
      <c r="D183" t="str">
        <f>_xlfn.XLOOKUP(B183,Sales_Transactions!D$2:D$251,Sales_Transactions!E$2:E$251)</f>
        <v>REP-03</v>
      </c>
      <c r="E183" s="5" t="s">
        <v>17</v>
      </c>
      <c r="F183" s="2" t="s">
        <v>17</v>
      </c>
    </row>
    <row r="184" spans="2:6">
      <c r="B184" s="2" t="s">
        <v>72</v>
      </c>
      <c r="C184" t="str">
        <f>_xlfn.XLOOKUP(B184,Products!$A$2:$A$251,Products!$C$2:$C$251)</f>
        <v>Generative AI</v>
      </c>
      <c r="D184" t="str">
        <f>_xlfn.XLOOKUP(B184,Sales_Transactions!D$2:D$251,Sales_Transactions!E$2:E$251)</f>
        <v>REP-11</v>
      </c>
      <c r="E184" s="5" t="s">
        <v>17</v>
      </c>
      <c r="F184" s="2" t="s">
        <v>17</v>
      </c>
    </row>
    <row r="185" spans="2:6">
      <c r="B185" s="2" t="s">
        <v>72</v>
      </c>
      <c r="C185" t="str">
        <f>_xlfn.XLOOKUP(B185,Products!$A$2:$A$251,Products!$C$2:$C$251)</f>
        <v>Generative AI</v>
      </c>
      <c r="D185" t="str">
        <f>_xlfn.XLOOKUP(B185,Sales_Transactions!D$2:D$251,Sales_Transactions!E$2:E$251)</f>
        <v>REP-11</v>
      </c>
      <c r="E185" s="5">
        <v>400</v>
      </c>
      <c r="F185" s="2" t="s">
        <v>54</v>
      </c>
    </row>
    <row r="186" spans="2:6">
      <c r="B186" s="2" t="s">
        <v>41</v>
      </c>
      <c r="C186" t="str">
        <f>_xlfn.XLOOKUP(B186,Products!$A$2:$A$251,Products!$C$2:$C$251)</f>
        <v>Conversational AI</v>
      </c>
      <c r="D186" t="str">
        <f>_xlfn.XLOOKUP(B186,Sales_Transactions!D$2:D$251,Sales_Transactions!E$2:E$251)</f>
        <v>REP-02</v>
      </c>
      <c r="E186" s="5">
        <v>-1275</v>
      </c>
      <c r="F186" s="2" t="s">
        <v>26</v>
      </c>
    </row>
    <row r="187" spans="2:6">
      <c r="B187" s="2" t="s">
        <v>24</v>
      </c>
      <c r="C187" t="str">
        <f>_xlfn.XLOOKUP(B187,Products!$A$2:$A$251,Products!$C$2:$C$251)</f>
        <v>Conversational AI</v>
      </c>
      <c r="D187" t="str">
        <f>_xlfn.XLOOKUP(B187,Sales_Transactions!D$2:D$251,Sales_Transactions!E$2:E$251)</f>
        <v>REP-04</v>
      </c>
      <c r="E187" s="5">
        <v>-400</v>
      </c>
      <c r="F187" s="2" t="s">
        <v>26</v>
      </c>
    </row>
    <row r="188" spans="2:6">
      <c r="B188" s="2" t="s">
        <v>36</v>
      </c>
      <c r="C188" t="str">
        <f>_xlfn.XLOOKUP(B188,Products!$A$2:$A$251,Products!$C$2:$C$251)</f>
        <v>Conversational AI</v>
      </c>
      <c r="D188" t="str">
        <f>_xlfn.XLOOKUP(B188,Sales_Transactions!D$2:D$251,Sales_Transactions!E$2:E$251)</f>
        <v>REP-01</v>
      </c>
      <c r="E188" s="5">
        <v>4180</v>
      </c>
      <c r="F188" s="2" t="s">
        <v>54</v>
      </c>
    </row>
    <row r="189" spans="2:6">
      <c r="B189" s="2" t="s">
        <v>63</v>
      </c>
      <c r="C189" t="str">
        <f>_xlfn.XLOOKUP(B189,Products!$A$2:$A$251,Products!$C$2:$C$251)</f>
        <v>Computer Vision</v>
      </c>
      <c r="D189" t="str">
        <f>_xlfn.XLOOKUP(B189,Sales_Transactions!D$2:D$251,Sales_Transactions!E$2:E$251)</f>
        <v>REP-03</v>
      </c>
      <c r="E189" s="5">
        <v>9350</v>
      </c>
      <c r="F189" s="2" t="s">
        <v>18</v>
      </c>
    </row>
    <row r="190" spans="2:6">
      <c r="B190" s="2" t="s">
        <v>15</v>
      </c>
      <c r="C190" t="str">
        <f>_xlfn.XLOOKUP(B190,Products!$A$2:$A$251,Products!$C$2:$C$251)</f>
        <v>Analytics AI</v>
      </c>
      <c r="D190" t="str">
        <f>_xlfn.XLOOKUP(B190,Sales_Transactions!D$2:D$251,Sales_Transactions!E$2:E$251)</f>
        <v>REP-07</v>
      </c>
      <c r="E190" s="5" t="s">
        <v>17</v>
      </c>
      <c r="F190" s="2" t="s">
        <v>60</v>
      </c>
    </row>
    <row r="191" spans="2:6">
      <c r="B191" s="2" t="s">
        <v>31</v>
      </c>
      <c r="C191" t="str">
        <f>_xlfn.XLOOKUP(B191,Products!$A$2:$A$251,Products!$C$2:$C$251)</f>
        <v>Sales AI</v>
      </c>
      <c r="D191" t="str">
        <f>_xlfn.XLOOKUP(B191,Sales_Transactions!D$2:D$251,Sales_Transactions!E$2:E$251)</f>
        <v>REP-04</v>
      </c>
      <c r="E191" s="5" t="s">
        <v>17</v>
      </c>
      <c r="F191" s="2" t="s">
        <v>17</v>
      </c>
    </row>
    <row r="192" spans="2:6">
      <c r="B192" s="2" t="s">
        <v>63</v>
      </c>
      <c r="C192" t="str">
        <f>_xlfn.XLOOKUP(B192,Products!$A$2:$A$251,Products!$C$2:$C$251)</f>
        <v>Computer Vision</v>
      </c>
      <c r="D192" t="str">
        <f>_xlfn.XLOOKUP(B192,Sales_Transactions!D$2:D$251,Sales_Transactions!E$2:E$251)</f>
        <v>REP-03</v>
      </c>
      <c r="E192" s="5" t="s">
        <v>17</v>
      </c>
      <c r="F192" s="2" t="s">
        <v>54</v>
      </c>
    </row>
    <row r="193" spans="2:6">
      <c r="B193" s="2" t="s">
        <v>63</v>
      </c>
      <c r="C193" t="str">
        <f>_xlfn.XLOOKUP(B193,Products!$A$2:$A$251,Products!$C$2:$C$251)</f>
        <v>Computer Vision</v>
      </c>
      <c r="D193" t="str">
        <f>_xlfn.XLOOKUP(B193,Sales_Transactions!D$2:D$251,Sales_Transactions!E$2:E$251)</f>
        <v>REP-03</v>
      </c>
      <c r="E193" s="5" t="s">
        <v>17</v>
      </c>
      <c r="F193" s="2" t="s">
        <v>98</v>
      </c>
    </row>
    <row r="194" spans="2:6">
      <c r="B194" s="2" t="s">
        <v>91</v>
      </c>
      <c r="C194" t="str">
        <f>_xlfn.XLOOKUP(B194,Products!$A$2:$A$251,Products!$C$2:$C$251)</f>
        <v>HR AI</v>
      </c>
      <c r="D194" t="str">
        <f>_xlfn.XLOOKUP(B194,Sales_Transactions!D$2:D$251,Sales_Transactions!E$2:E$251)</f>
        <v>REP-09</v>
      </c>
      <c r="E194" s="5">
        <v>1120</v>
      </c>
      <c r="F194" s="2" t="s">
        <v>60</v>
      </c>
    </row>
    <row r="195" spans="2:6">
      <c r="B195" s="2" t="s">
        <v>57</v>
      </c>
      <c r="C195" t="str">
        <f>_xlfn.XLOOKUP(B195,Products!$A$2:$A$251,Products!$C$2:$C$251)</f>
        <v>Data AI</v>
      </c>
      <c r="D195" t="str">
        <f>_xlfn.XLOOKUP(B195,Sales_Transactions!D$2:D$251,Sales_Transactions!E$2:E$251)</f>
        <v>REP-12</v>
      </c>
      <c r="E195" s="5">
        <v>7600</v>
      </c>
      <c r="F195" s="2" t="s">
        <v>98</v>
      </c>
    </row>
    <row r="196" spans="2:6">
      <c r="B196" s="2" t="s">
        <v>24</v>
      </c>
      <c r="C196" t="str">
        <f>_xlfn.XLOOKUP(B196,Products!$A$2:$A$251,Products!$C$2:$C$251)</f>
        <v>Conversational AI</v>
      </c>
      <c r="D196" t="str">
        <f>_xlfn.XLOOKUP(B196,Sales_Transactions!D$2:D$251,Sales_Transactions!E$2:E$251)</f>
        <v>REP-04</v>
      </c>
      <c r="E196" s="5">
        <v>680</v>
      </c>
      <c r="F196" s="2" t="s">
        <v>18</v>
      </c>
    </row>
    <row r="197" spans="2:6">
      <c r="B197" s="2" t="s">
        <v>41</v>
      </c>
      <c r="C197" t="str">
        <f>_xlfn.XLOOKUP(B197,Products!$A$2:$A$251,Products!$C$2:$C$251)</f>
        <v>Conversational AI</v>
      </c>
      <c r="D197" t="str">
        <f>_xlfn.XLOOKUP(B197,Sales_Transactions!D$2:D$251,Sales_Transactions!E$2:E$251)</f>
        <v>REP-02</v>
      </c>
      <c r="E197" s="5">
        <v>2850</v>
      </c>
      <c r="F197" s="2" t="s">
        <v>26</v>
      </c>
    </row>
    <row r="198" spans="2:6">
      <c r="B198" s="2" t="s">
        <v>24</v>
      </c>
      <c r="C198" t="str">
        <f>_xlfn.XLOOKUP(B198,Products!$A$2:$A$251,Products!$C$2:$C$251)</f>
        <v>Conversational AI</v>
      </c>
      <c r="D198" t="str">
        <f>_xlfn.XLOOKUP(B198,Sales_Transactions!D$2:D$251,Sales_Transactions!E$2:E$251)</f>
        <v>REP-04</v>
      </c>
      <c r="E198" s="5">
        <v>-340</v>
      </c>
      <c r="F198" s="2" t="s">
        <v>54</v>
      </c>
    </row>
    <row r="199" spans="2:6">
      <c r="B199" s="2" t="s">
        <v>63</v>
      </c>
      <c r="C199" t="str">
        <f>_xlfn.XLOOKUP(B199,Products!$A$2:$A$251,Products!$C$2:$C$251)</f>
        <v>Computer Vision</v>
      </c>
      <c r="D199" t="str">
        <f>_xlfn.XLOOKUP(B199,Sales_Transactions!D$2:D$251,Sales_Transactions!E$2:E$251)</f>
        <v>REP-03</v>
      </c>
      <c r="E199" s="5">
        <v>2090</v>
      </c>
      <c r="F199" s="2" t="s">
        <v>98</v>
      </c>
    </row>
    <row r="200" spans="2:6">
      <c r="B200" s="2" t="s">
        <v>79</v>
      </c>
      <c r="C200" t="str">
        <f>_xlfn.XLOOKUP(B200,Products!$A$2:$A$251,Products!$C$2:$C$251)</f>
        <v>Analytics AI</v>
      </c>
      <c r="D200" t="str">
        <f>_xlfn.XLOOKUP(B200,Sales_Transactions!D$2:D$251,Sales_Transactions!E$2:E$251)</f>
        <v>REP-11</v>
      </c>
      <c r="E200" s="5">
        <v>1710</v>
      </c>
      <c r="F200" s="2" t="s">
        <v>54</v>
      </c>
    </row>
    <row r="201" spans="2:6">
      <c r="B201" s="2" t="s">
        <v>52</v>
      </c>
      <c r="C201" t="str">
        <f>_xlfn.XLOOKUP(B201,Products!$A$2:$A$251,Products!$C$2:$C$251)</f>
        <v>Security AI</v>
      </c>
      <c r="D201" t="str">
        <f>_xlfn.XLOOKUP(B201,Sales_Transactions!D$2:D$251,Sales_Transactions!E$2:E$251)</f>
        <v>REP-03</v>
      </c>
      <c r="E201" s="5" t="s">
        <v>17</v>
      </c>
      <c r="F201" s="2" t="s">
        <v>54</v>
      </c>
    </row>
    <row r="202" spans="2:6">
      <c r="B202" s="2" t="s">
        <v>41</v>
      </c>
      <c r="C202" t="str">
        <f>_xlfn.XLOOKUP(B202,Products!$A$2:$A$251,Products!$C$2:$C$251)</f>
        <v>Conversational AI</v>
      </c>
      <c r="D202" t="str">
        <f>_xlfn.XLOOKUP(B202,Sales_Transactions!D$2:D$251,Sales_Transactions!E$2:E$251)</f>
        <v>REP-02</v>
      </c>
      <c r="E202" s="5" t="s">
        <v>17</v>
      </c>
      <c r="F202" s="2" t="s">
        <v>17</v>
      </c>
    </row>
    <row r="203" spans="2:6">
      <c r="B203" s="2" t="s">
        <v>68</v>
      </c>
      <c r="C203" t="str">
        <f>_xlfn.XLOOKUP(B203,Products!$A$2:$A$251,Products!$C$2:$C$251)</f>
        <v>Sales AI</v>
      </c>
      <c r="D203" t="str">
        <f>_xlfn.XLOOKUP(B203,Sales_Transactions!D$2:D$251,Sales_Transactions!E$2:E$251)</f>
        <v>REP-09</v>
      </c>
      <c r="E203" s="5" t="s">
        <v>17</v>
      </c>
      <c r="F203" s="2" t="s">
        <v>60</v>
      </c>
    </row>
    <row r="204" spans="2:6">
      <c r="B204" s="2" t="s">
        <v>24</v>
      </c>
      <c r="C204" t="str">
        <f>_xlfn.XLOOKUP(B204,Products!$A$2:$A$251,Products!$C$2:$C$251)</f>
        <v>Conversational AI</v>
      </c>
      <c r="D204" t="str">
        <f>_xlfn.XLOOKUP(B204,Sales_Transactions!D$2:D$251,Sales_Transactions!E$2:E$251)</f>
        <v>REP-04</v>
      </c>
      <c r="E204" s="5">
        <v>-320</v>
      </c>
      <c r="F204" s="2" t="s">
        <v>54</v>
      </c>
    </row>
    <row r="205" spans="2:6">
      <c r="B205" s="2" t="s">
        <v>91</v>
      </c>
      <c r="C205" t="str">
        <f>_xlfn.XLOOKUP(B205,Products!$A$2:$A$251,Products!$C$2:$C$251)</f>
        <v>HR AI</v>
      </c>
      <c r="D205" t="str">
        <f>_xlfn.XLOOKUP(B205,Sales_Transactions!D$2:D$251,Sales_Transactions!E$2:E$251)</f>
        <v>REP-09</v>
      </c>
      <c r="E205" s="5">
        <v>560</v>
      </c>
      <c r="F205" s="2" t="s">
        <v>26</v>
      </c>
    </row>
    <row r="206" spans="2:6">
      <c r="B206" s="2" t="s">
        <v>52</v>
      </c>
      <c r="C206" t="str">
        <f>_xlfn.XLOOKUP(B206,Products!$A$2:$A$251,Products!$C$2:$C$251)</f>
        <v>Security AI</v>
      </c>
      <c r="D206" t="str">
        <f>_xlfn.XLOOKUP(B206,Sales_Transactions!D$2:D$251,Sales_Transactions!E$2:E$251)</f>
        <v>REP-03</v>
      </c>
      <c r="E206" s="5">
        <v>1520</v>
      </c>
      <c r="F206" s="2" t="s">
        <v>17</v>
      </c>
    </row>
    <row r="207" spans="2:6">
      <c r="B207" s="2" t="s">
        <v>68</v>
      </c>
      <c r="C207" t="str">
        <f>_xlfn.XLOOKUP(B207,Products!$A$2:$A$251,Products!$C$2:$C$251)</f>
        <v>Sales AI</v>
      </c>
      <c r="D207" t="str">
        <f>_xlfn.XLOOKUP(B207,Sales_Transactions!D$2:D$251,Sales_Transactions!E$2:E$251)</f>
        <v>REP-09</v>
      </c>
      <c r="E207" s="5">
        <v>2160</v>
      </c>
      <c r="F207" s="2" t="s">
        <v>54</v>
      </c>
    </row>
    <row r="208" spans="2:6">
      <c r="B208" s="2" t="s">
        <v>41</v>
      </c>
      <c r="C208" t="str">
        <f>_xlfn.XLOOKUP(B208,Products!$A$2:$A$251,Products!$C$2:$C$251)</f>
        <v>Conversational AI</v>
      </c>
      <c r="D208" t="str">
        <f>_xlfn.XLOOKUP(B208,Sales_Transactions!D$2:D$251,Sales_Transactions!E$2:E$251)</f>
        <v>REP-02</v>
      </c>
      <c r="E208" s="5">
        <v>6000</v>
      </c>
      <c r="F208" s="2" t="s">
        <v>18</v>
      </c>
    </row>
    <row r="209" spans="2:6">
      <c r="B209" s="2" t="s">
        <v>72</v>
      </c>
      <c r="C209" t="str">
        <f>_xlfn.XLOOKUP(B209,Products!$A$2:$A$251,Products!$C$2:$C$251)</f>
        <v>Generative AI</v>
      </c>
      <c r="D209" t="str">
        <f>_xlfn.XLOOKUP(B209,Sales_Transactions!D$2:D$251,Sales_Transactions!E$2:E$251)</f>
        <v>REP-11</v>
      </c>
      <c r="E209" s="5" t="s">
        <v>17</v>
      </c>
      <c r="F209" s="2" t="s">
        <v>60</v>
      </c>
    </row>
    <row r="210" spans="2:6">
      <c r="B210" s="2" t="s">
        <v>24</v>
      </c>
      <c r="C210" t="str">
        <f>_xlfn.XLOOKUP(B210,Products!$A$2:$A$251,Products!$C$2:$C$251)</f>
        <v>Conversational AI</v>
      </c>
      <c r="D210" t="str">
        <f>_xlfn.XLOOKUP(B210,Sales_Transactions!D$2:D$251,Sales_Transactions!E$2:E$251)</f>
        <v>REP-04</v>
      </c>
      <c r="E210" s="5">
        <v>1280</v>
      </c>
      <c r="F210" s="2" t="s">
        <v>18</v>
      </c>
    </row>
    <row r="211" spans="2:6">
      <c r="B211" s="2" t="s">
        <v>31</v>
      </c>
      <c r="C211" t="str">
        <f>_xlfn.XLOOKUP(B211,Products!$A$2:$A$251,Products!$C$2:$C$251)</f>
        <v>Sales AI</v>
      </c>
      <c r="D211" t="str">
        <f>_xlfn.XLOOKUP(B211,Sales_Transactions!D$2:D$251,Sales_Transactions!E$2:E$251)</f>
        <v>REP-04</v>
      </c>
      <c r="E211" s="5">
        <v>680</v>
      </c>
      <c r="F211" s="2" t="s">
        <v>17</v>
      </c>
    </row>
    <row r="212" spans="2:6">
      <c r="B212" s="2" t="s">
        <v>52</v>
      </c>
      <c r="C212" t="str">
        <f>_xlfn.XLOOKUP(B212,Products!$A$2:$A$251,Products!$C$2:$C$251)</f>
        <v>Security AI</v>
      </c>
      <c r="D212" t="str">
        <f>_xlfn.XLOOKUP(B212,Sales_Transactions!D$2:D$251,Sales_Transactions!E$2:E$251)</f>
        <v>REP-03</v>
      </c>
      <c r="E212" s="5">
        <v>1520</v>
      </c>
      <c r="F212" s="2" t="s">
        <v>26</v>
      </c>
    </row>
    <row r="213" spans="2:6">
      <c r="B213" s="2" t="s">
        <v>79</v>
      </c>
      <c r="C213" t="str">
        <f>_xlfn.XLOOKUP(B213,Products!$A$2:$A$251,Products!$C$2:$C$251)</f>
        <v>Analytics AI</v>
      </c>
      <c r="D213" t="str">
        <f>_xlfn.XLOOKUP(B213,Sales_Transactions!D$2:D$251,Sales_Transactions!E$2:E$251)</f>
        <v>REP-11</v>
      </c>
      <c r="E213" s="5" t="s">
        <v>17</v>
      </c>
      <c r="F213" s="2" t="s">
        <v>60</v>
      </c>
    </row>
    <row r="214" spans="2:6">
      <c r="B214" s="2" t="s">
        <v>41</v>
      </c>
      <c r="C214" t="str">
        <f>_xlfn.XLOOKUP(B214,Products!$A$2:$A$251,Products!$C$2:$C$251)</f>
        <v>Conversational AI</v>
      </c>
      <c r="D214" t="str">
        <f>_xlfn.XLOOKUP(B214,Sales_Transactions!D$2:D$251,Sales_Transactions!E$2:E$251)</f>
        <v>REP-02</v>
      </c>
      <c r="E214" s="5">
        <v>2400</v>
      </c>
      <c r="F214" s="2" t="s">
        <v>60</v>
      </c>
    </row>
    <row r="215" spans="2:6">
      <c r="B215" s="2" t="s">
        <v>15</v>
      </c>
      <c r="C215" t="str">
        <f>_xlfn.XLOOKUP(B215,Products!$A$2:$A$251,Products!$C$2:$C$251)</f>
        <v>Analytics AI</v>
      </c>
      <c r="D215" t="str">
        <f>_xlfn.XLOOKUP(B215,Sales_Transactions!D$2:D$251,Sales_Transactions!E$2:E$251)</f>
        <v>REP-07</v>
      </c>
      <c r="E215" s="5">
        <v>5950</v>
      </c>
      <c r="F215" s="2" t="s">
        <v>17</v>
      </c>
    </row>
    <row r="216" spans="2:6">
      <c r="B216" s="2" t="s">
        <v>79</v>
      </c>
      <c r="C216" t="str">
        <f>_xlfn.XLOOKUP(B216,Products!$A$2:$A$251,Products!$C$2:$C$251)</f>
        <v>Analytics AI</v>
      </c>
      <c r="D216" t="str">
        <f>_xlfn.XLOOKUP(B216,Sales_Transactions!D$2:D$251,Sales_Transactions!E$2:E$251)</f>
        <v>REP-11</v>
      </c>
      <c r="E216" s="5" t="s">
        <v>17</v>
      </c>
      <c r="F216" s="2" t="s">
        <v>18</v>
      </c>
    </row>
    <row r="217" spans="2:6">
      <c r="B217" s="2" t="s">
        <v>52</v>
      </c>
      <c r="C217" t="str">
        <f>_xlfn.XLOOKUP(B217,Products!$A$2:$A$251,Products!$C$2:$C$251)</f>
        <v>Security AI</v>
      </c>
      <c r="D217" t="str">
        <f>_xlfn.XLOOKUP(B217,Sales_Transactions!D$2:D$251,Sales_Transactions!E$2:E$251)</f>
        <v>REP-03</v>
      </c>
      <c r="E217" s="5">
        <v>0</v>
      </c>
      <c r="F217" s="2" t="s">
        <v>54</v>
      </c>
    </row>
    <row r="218" spans="2:6">
      <c r="B218" s="2" t="s">
        <v>41</v>
      </c>
      <c r="C218" t="str">
        <f>_xlfn.XLOOKUP(B218,Products!$A$2:$A$251,Products!$C$2:$C$251)</f>
        <v>Conversational AI</v>
      </c>
      <c r="D218" t="str">
        <f>_xlfn.XLOOKUP(B218,Sales_Transactions!D$2:D$251,Sales_Transactions!E$2:E$251)</f>
        <v>REP-02</v>
      </c>
      <c r="E218" s="5">
        <v>6000</v>
      </c>
      <c r="F218" s="2" t="s">
        <v>98</v>
      </c>
    </row>
    <row r="219" spans="2:6">
      <c r="B219" s="2" t="s">
        <v>15</v>
      </c>
      <c r="C219" t="str">
        <f>_xlfn.XLOOKUP(B219,Products!$A$2:$A$251,Products!$C$2:$C$251)</f>
        <v>Analytics AI</v>
      </c>
      <c r="D219" t="str">
        <f>_xlfn.XLOOKUP(B219,Sales_Transactions!D$2:D$251,Sales_Transactions!E$2:E$251)</f>
        <v>REP-07</v>
      </c>
      <c r="E219" s="5" t="s">
        <v>17</v>
      </c>
      <c r="F219" s="2" t="s">
        <v>60</v>
      </c>
    </row>
    <row r="220" spans="2:6">
      <c r="B220" s="2" t="s">
        <v>68</v>
      </c>
      <c r="C220" t="str">
        <f>_xlfn.XLOOKUP(B220,Products!$A$2:$A$251,Products!$C$2:$C$251)</f>
        <v>Sales AI</v>
      </c>
      <c r="D220" t="str">
        <f>_xlfn.XLOOKUP(B220,Sales_Transactions!D$2:D$251,Sales_Transactions!E$2:E$251)</f>
        <v>REP-09</v>
      </c>
      <c r="E220" s="5" t="s">
        <v>17</v>
      </c>
      <c r="F220" s="2" t="s">
        <v>26</v>
      </c>
    </row>
    <row r="221" spans="2:6">
      <c r="B221" s="2" t="s">
        <v>63</v>
      </c>
      <c r="C221" t="str">
        <f>_xlfn.XLOOKUP(B221,Products!$A$2:$A$251,Products!$C$2:$C$251)</f>
        <v>Computer Vision</v>
      </c>
      <c r="D221" t="str">
        <f>_xlfn.XLOOKUP(B221,Sales_Transactions!D$2:D$251,Sales_Transactions!E$2:E$251)</f>
        <v>REP-03</v>
      </c>
      <c r="E221" s="5" t="s">
        <v>17</v>
      </c>
      <c r="F221" s="2" t="s">
        <v>54</v>
      </c>
    </row>
    <row r="222" spans="2:6">
      <c r="B222" s="2" t="s">
        <v>41</v>
      </c>
      <c r="C222" t="str">
        <f>_xlfn.XLOOKUP(B222,Products!$A$2:$A$251,Products!$C$2:$C$251)</f>
        <v>Conversational AI</v>
      </c>
      <c r="D222" t="str">
        <f>_xlfn.XLOOKUP(B222,Sales_Transactions!D$2:D$251,Sales_Transactions!E$2:E$251)</f>
        <v>REP-02</v>
      </c>
      <c r="E222" s="5" t="s">
        <v>17</v>
      </c>
      <c r="F222" s="2" t="s">
        <v>98</v>
      </c>
    </row>
    <row r="223" spans="2:6">
      <c r="B223" s="2" t="s">
        <v>24</v>
      </c>
      <c r="C223" t="str">
        <f>_xlfn.XLOOKUP(B223,Products!$A$2:$A$251,Products!$C$2:$C$251)</f>
        <v>Conversational AI</v>
      </c>
      <c r="D223" t="str">
        <f>_xlfn.XLOOKUP(B223,Sales_Transactions!D$2:D$251,Sales_Transactions!E$2:E$251)</f>
        <v>REP-04</v>
      </c>
      <c r="E223" s="5">
        <v>0</v>
      </c>
      <c r="F223" s="2" t="s">
        <v>17</v>
      </c>
    </row>
    <row r="224" spans="2:6">
      <c r="B224" s="2" t="s">
        <v>15</v>
      </c>
      <c r="C224" t="str">
        <f>_xlfn.XLOOKUP(B224,Products!$A$2:$A$251,Products!$C$2:$C$251)</f>
        <v>Analytics AI</v>
      </c>
      <c r="D224" t="str">
        <f>_xlfn.XLOOKUP(B224,Sales_Transactions!D$2:D$251,Sales_Transactions!E$2:E$251)</f>
        <v>REP-07</v>
      </c>
      <c r="E224" s="5">
        <v>1400</v>
      </c>
      <c r="F224" s="2" t="s">
        <v>60</v>
      </c>
    </row>
    <row r="225" spans="2:6">
      <c r="B225" s="2" t="s">
        <v>79</v>
      </c>
      <c r="C225" t="str">
        <f>_xlfn.XLOOKUP(B225,Products!$A$2:$A$251,Products!$C$2:$C$251)</f>
        <v>Analytics AI</v>
      </c>
      <c r="D225" t="str">
        <f>_xlfn.XLOOKUP(B225,Sales_Transactions!D$2:D$251,Sales_Transactions!E$2:E$251)</f>
        <v>REP-11</v>
      </c>
      <c r="E225" s="5">
        <v>4037.5</v>
      </c>
      <c r="F225" s="2" t="s">
        <v>18</v>
      </c>
    </row>
    <row r="226" spans="2:6">
      <c r="B226" s="2" t="s">
        <v>52</v>
      </c>
      <c r="C226" t="str">
        <f>_xlfn.XLOOKUP(B226,Products!$A$2:$A$251,Products!$C$2:$C$251)</f>
        <v>Security AI</v>
      </c>
      <c r="D226" t="str">
        <f>_xlfn.XLOOKUP(B226,Sales_Transactions!D$2:D$251,Sales_Transactions!E$2:E$251)</f>
        <v>REP-03</v>
      </c>
      <c r="E226" s="5" t="s">
        <v>17</v>
      </c>
      <c r="F226" s="2" t="s">
        <v>26</v>
      </c>
    </row>
    <row r="227" spans="2:6">
      <c r="B227" s="2" t="s">
        <v>41</v>
      </c>
      <c r="C227" t="str">
        <f>_xlfn.XLOOKUP(B227,Products!$A$2:$A$251,Products!$C$2:$C$251)</f>
        <v>Conversational AI</v>
      </c>
      <c r="D227" t="str">
        <f>_xlfn.XLOOKUP(B227,Sales_Transactions!D$2:D$251,Sales_Transactions!E$2:E$251)</f>
        <v>REP-02</v>
      </c>
      <c r="E227" s="5" t="s">
        <v>17</v>
      </c>
      <c r="F227" s="2" t="s">
        <v>17</v>
      </c>
    </row>
    <row r="228" spans="2:6">
      <c r="B228" s="2" t="s">
        <v>72</v>
      </c>
      <c r="C228" t="str">
        <f>_xlfn.XLOOKUP(B228,Products!$A$2:$A$251,Products!$C$2:$C$251)</f>
        <v>Generative AI</v>
      </c>
      <c r="D228" t="str">
        <f>_xlfn.XLOOKUP(B228,Sales_Transactions!D$2:D$251,Sales_Transactions!E$2:E$251)</f>
        <v>REP-11</v>
      </c>
      <c r="E228" s="5">
        <v>475</v>
      </c>
      <c r="F228" s="2" t="s">
        <v>26</v>
      </c>
    </row>
    <row r="229" spans="2:6">
      <c r="B229" s="2" t="s">
        <v>52</v>
      </c>
      <c r="C229" t="str">
        <f>_xlfn.XLOOKUP(B229,Products!$A$2:$A$251,Products!$C$2:$C$251)</f>
        <v>Security AI</v>
      </c>
      <c r="D229" t="str">
        <f>_xlfn.XLOOKUP(B229,Sales_Transactions!D$2:D$251,Sales_Transactions!E$2:E$251)</f>
        <v>REP-03</v>
      </c>
      <c r="E229" s="5">
        <v>1615</v>
      </c>
      <c r="F229" s="2" t="s">
        <v>17</v>
      </c>
    </row>
    <row r="230" spans="2:6">
      <c r="B230" s="2" t="s">
        <v>15</v>
      </c>
      <c r="C230" t="str">
        <f>_xlfn.XLOOKUP(B230,Products!$A$2:$A$251,Products!$C$2:$C$251)</f>
        <v>Analytics AI</v>
      </c>
      <c r="D230" t="str">
        <f>_xlfn.XLOOKUP(B230,Sales_Transactions!D$2:D$251,Sales_Transactions!E$2:E$251)</f>
        <v>REP-07</v>
      </c>
      <c r="E230" s="5" t="s">
        <v>17</v>
      </c>
      <c r="F230" s="2" t="s">
        <v>54</v>
      </c>
    </row>
    <row r="231" spans="2:6">
      <c r="B231" s="2" t="s">
        <v>52</v>
      </c>
      <c r="C231" t="str">
        <f>_xlfn.XLOOKUP(B231,Products!$A$2:$A$251,Products!$C$2:$C$251)</f>
        <v>Security AI</v>
      </c>
      <c r="D231" t="str">
        <f>_xlfn.XLOOKUP(B231,Sales_Transactions!D$2:D$251,Sales_Transactions!E$2:E$251)</f>
        <v>REP-03</v>
      </c>
      <c r="E231" s="5">
        <v>19000</v>
      </c>
      <c r="F231" s="2" t="s">
        <v>26</v>
      </c>
    </row>
    <row r="232" spans="2:6">
      <c r="B232" s="2" t="s">
        <v>15</v>
      </c>
      <c r="C232" t="str">
        <f>_xlfn.XLOOKUP(B232,Products!$A$2:$A$251,Products!$C$2:$C$251)</f>
        <v>Analytics AI</v>
      </c>
      <c r="D232" t="str">
        <f>_xlfn.XLOOKUP(B232,Sales_Transactions!D$2:D$251,Sales_Transactions!E$2:E$251)</f>
        <v>REP-07</v>
      </c>
      <c r="E232" s="5">
        <v>7000</v>
      </c>
      <c r="F232" s="2" t="s">
        <v>60</v>
      </c>
    </row>
    <row r="233" spans="2:6">
      <c r="B233" s="2" t="s">
        <v>31</v>
      </c>
      <c r="C233" t="str">
        <f>_xlfn.XLOOKUP(B233,Products!$A$2:$A$251,Products!$C$2:$C$251)</f>
        <v>Sales AI</v>
      </c>
      <c r="D233" t="str">
        <f>_xlfn.XLOOKUP(B233,Sales_Transactions!D$2:D$251,Sales_Transactions!E$2:E$251)</f>
        <v>REP-04</v>
      </c>
      <c r="E233" s="5">
        <v>2880</v>
      </c>
      <c r="F233" s="2" t="s">
        <v>18</v>
      </c>
    </row>
    <row r="234" spans="2:6">
      <c r="B234" s="2" t="s">
        <v>72</v>
      </c>
      <c r="C234" t="str">
        <f>_xlfn.XLOOKUP(B234,Products!$A$2:$A$251,Products!$C$2:$C$251)</f>
        <v>Generative AI</v>
      </c>
      <c r="D234" t="str">
        <f>_xlfn.XLOOKUP(B234,Sales_Transactions!D$2:D$251,Sales_Transactions!E$2:E$251)</f>
        <v>REP-11</v>
      </c>
      <c r="E234" s="5">
        <v>2500</v>
      </c>
      <c r="F234" s="2" t="s">
        <v>54</v>
      </c>
    </row>
    <row r="235" spans="2:6">
      <c r="B235" s="2" t="s">
        <v>57</v>
      </c>
      <c r="C235" t="str">
        <f>_xlfn.XLOOKUP(B235,Products!$A$2:$A$251,Products!$C$2:$C$251)</f>
        <v>Data AI</v>
      </c>
      <c r="D235" t="str">
        <f>_xlfn.XLOOKUP(B235,Sales_Transactions!D$2:D$251,Sales_Transactions!E$2:E$251)</f>
        <v>REP-12</v>
      </c>
      <c r="E235" s="5" t="s">
        <v>17</v>
      </c>
      <c r="F235" s="2" t="s">
        <v>26</v>
      </c>
    </row>
    <row r="236" spans="2:6">
      <c r="B236" s="2" t="s">
        <v>68</v>
      </c>
      <c r="C236" t="str">
        <f>_xlfn.XLOOKUP(B236,Products!$A$2:$A$251,Products!$C$2:$C$251)</f>
        <v>Sales AI</v>
      </c>
      <c r="D236" t="str">
        <f>_xlfn.XLOOKUP(B236,Sales_Transactions!D$2:D$251,Sales_Transactions!E$2:E$251)</f>
        <v>REP-09</v>
      </c>
      <c r="E236" s="5">
        <v>3240</v>
      </c>
      <c r="F236" s="2" t="s">
        <v>26</v>
      </c>
    </row>
    <row r="237" spans="2:6">
      <c r="B237" s="2" t="s">
        <v>72</v>
      </c>
      <c r="C237" t="str">
        <f>_xlfn.XLOOKUP(B237,Products!$A$2:$A$251,Products!$C$2:$C$251)</f>
        <v>Generative AI</v>
      </c>
      <c r="D237" t="str">
        <f>_xlfn.XLOOKUP(B237,Sales_Transactions!D$2:D$251,Sales_Transactions!E$2:E$251)</f>
        <v>REP-11</v>
      </c>
      <c r="E237" s="5">
        <v>2000</v>
      </c>
      <c r="F237" s="2" t="s">
        <v>98</v>
      </c>
    </row>
    <row r="238" spans="2:6">
      <c r="B238" s="2" t="s">
        <v>57</v>
      </c>
      <c r="C238" t="str">
        <f>_xlfn.XLOOKUP(B238,Products!$A$2:$A$251,Products!$C$2:$C$251)</f>
        <v>Data AI</v>
      </c>
      <c r="D238" t="str">
        <f>_xlfn.XLOOKUP(B238,Sales_Transactions!D$2:D$251,Sales_Transactions!E$2:E$251)</f>
        <v>REP-12</v>
      </c>
      <c r="E238" s="5">
        <v>1900</v>
      </c>
      <c r="F238" s="2" t="s">
        <v>98</v>
      </c>
    </row>
    <row r="239" spans="2:6">
      <c r="B239" s="2" t="s">
        <v>31</v>
      </c>
      <c r="C239" t="str">
        <f>_xlfn.XLOOKUP(B239,Products!$A$2:$A$251,Products!$C$2:$C$251)</f>
        <v>Sales AI</v>
      </c>
      <c r="D239" t="str">
        <f>_xlfn.XLOOKUP(B239,Sales_Transactions!D$2:D$251,Sales_Transactions!E$2:E$251)</f>
        <v>REP-04</v>
      </c>
      <c r="E239" s="5">
        <v>640</v>
      </c>
      <c r="F239" s="2" t="s">
        <v>18</v>
      </c>
    </row>
    <row r="240" spans="2:6">
      <c r="B240" s="2" t="s">
        <v>72</v>
      </c>
      <c r="C240" t="str">
        <f>_xlfn.XLOOKUP(B240,Products!$A$2:$A$251,Products!$C$2:$C$251)</f>
        <v>Generative AI</v>
      </c>
      <c r="D240" t="str">
        <f>_xlfn.XLOOKUP(B240,Sales_Transactions!D$2:D$251,Sales_Transactions!E$2:E$251)</f>
        <v>REP-11</v>
      </c>
      <c r="E240" s="5" t="s">
        <v>17</v>
      </c>
      <c r="F240" s="2" t="s">
        <v>98</v>
      </c>
    </row>
    <row r="241" spans="2:6">
      <c r="B241" s="2" t="s">
        <v>91</v>
      </c>
      <c r="C241" t="str">
        <f>_xlfn.XLOOKUP(B241,Products!$A$2:$A$251,Products!$C$2:$C$251)</f>
        <v>HR AI</v>
      </c>
      <c r="D241" t="str">
        <f>_xlfn.XLOOKUP(B241,Sales_Transactions!D$2:D$251,Sales_Transactions!E$2:E$251)</f>
        <v>REP-09</v>
      </c>
      <c r="E241" s="5">
        <v>3500</v>
      </c>
      <c r="F241" s="2" t="s">
        <v>26</v>
      </c>
    </row>
    <row r="242" spans="2:6">
      <c r="B242" s="2" t="s">
        <v>91</v>
      </c>
      <c r="C242" t="str">
        <f>_xlfn.XLOOKUP(B242,Products!$A$2:$A$251,Products!$C$2:$C$251)</f>
        <v>HR AI</v>
      </c>
      <c r="D242" t="str">
        <f>_xlfn.XLOOKUP(B242,Sales_Transactions!D$2:D$251,Sales_Transactions!E$2:E$251)</f>
        <v>REP-09</v>
      </c>
      <c r="E242" s="5" t="s">
        <v>17</v>
      </c>
      <c r="F242" s="2" t="s">
        <v>18</v>
      </c>
    </row>
    <row r="243" spans="2:6">
      <c r="B243" s="2" t="s">
        <v>36</v>
      </c>
      <c r="C243" t="str">
        <f>_xlfn.XLOOKUP(B243,Products!$A$2:$A$251,Products!$C$2:$C$251)</f>
        <v>Conversational AI</v>
      </c>
      <c r="D243" t="str">
        <f>_xlfn.XLOOKUP(B243,Sales_Transactions!D$2:D$251,Sales_Transactions!E$2:E$251)</f>
        <v>REP-01</v>
      </c>
      <c r="E243" s="5">
        <v>2805</v>
      </c>
      <c r="F243" s="2" t="s">
        <v>98</v>
      </c>
    </row>
    <row r="244" spans="2:6">
      <c r="B244" s="2" t="s">
        <v>57</v>
      </c>
      <c r="C244" t="str">
        <f>_xlfn.XLOOKUP(B244,Products!$A$2:$A$251,Products!$C$2:$C$251)</f>
        <v>Data AI</v>
      </c>
      <c r="D244" t="str">
        <f>_xlfn.XLOOKUP(B244,Sales_Transactions!D$2:D$251,Sales_Transactions!E$2:E$251)</f>
        <v>REP-12</v>
      </c>
      <c r="E244" s="5">
        <v>7600</v>
      </c>
      <c r="F244" s="2" t="s">
        <v>18</v>
      </c>
    </row>
    <row r="245" spans="2:6">
      <c r="B245" s="2" t="s">
        <v>24</v>
      </c>
      <c r="C245" t="str">
        <f>_xlfn.XLOOKUP(B245,Products!$A$2:$A$251,Products!$C$2:$C$251)</f>
        <v>Conversational AI</v>
      </c>
      <c r="D245" t="str">
        <f>_xlfn.XLOOKUP(B245,Sales_Transactions!D$2:D$251,Sales_Transactions!E$2:E$251)</f>
        <v>REP-04</v>
      </c>
      <c r="E245" s="5">
        <v>2000</v>
      </c>
      <c r="F245" s="2" t="s">
        <v>98</v>
      </c>
    </row>
    <row r="246" spans="2:6">
      <c r="B246" s="2" t="s">
        <v>15</v>
      </c>
      <c r="C246" t="str">
        <f>_xlfn.XLOOKUP(B246,Products!$A$2:$A$251,Products!$C$2:$C$251)</f>
        <v>Analytics AI</v>
      </c>
      <c r="D246" t="str">
        <f>_xlfn.XLOOKUP(B246,Sales_Transactions!D$2:D$251,Sales_Transactions!E$2:E$251)</f>
        <v>REP-07</v>
      </c>
      <c r="E246" s="5">
        <v>-1575</v>
      </c>
      <c r="F246" s="2" t="s">
        <v>18</v>
      </c>
    </row>
    <row r="247" spans="2:6">
      <c r="B247" s="2" t="s">
        <v>36</v>
      </c>
      <c r="C247" t="str">
        <f>_xlfn.XLOOKUP(B247,Products!$A$2:$A$251,Products!$C$2:$C$251)</f>
        <v>Conversational AI</v>
      </c>
      <c r="D247" t="str">
        <f>_xlfn.XLOOKUP(B247,Sales_Transactions!D$2:D$251,Sales_Transactions!E$2:E$251)</f>
        <v>REP-01</v>
      </c>
      <c r="E247" s="5" t="s">
        <v>17</v>
      </c>
      <c r="F247" s="2" t="s">
        <v>18</v>
      </c>
    </row>
    <row r="248" spans="2:6">
      <c r="B248" s="2" t="s">
        <v>72</v>
      </c>
      <c r="C248" t="str">
        <f>_xlfn.XLOOKUP(B248,Products!$A$2:$A$251,Products!$C$2:$C$251)</f>
        <v>Generative AI</v>
      </c>
      <c r="D248" t="str">
        <f>_xlfn.XLOOKUP(B248,Sales_Transactions!D$2:D$251,Sales_Transactions!E$2:E$251)</f>
        <v>REP-11</v>
      </c>
      <c r="E248" s="5">
        <v>5000</v>
      </c>
      <c r="F248" s="2" t="s">
        <v>54</v>
      </c>
    </row>
    <row r="249" spans="2:6">
      <c r="B249" s="2" t="s">
        <v>15</v>
      </c>
      <c r="C249" t="str">
        <f>_xlfn.XLOOKUP(B249,Products!$A$2:$A$251,Products!$C$2:$C$251)</f>
        <v>Analytics AI</v>
      </c>
      <c r="D249" t="str">
        <f>_xlfn.XLOOKUP(B249,Sales_Transactions!D$2:D$251,Sales_Transactions!E$2:E$251)</f>
        <v>REP-07</v>
      </c>
      <c r="E249" s="5">
        <v>7875</v>
      </c>
      <c r="F249" s="2" t="s">
        <v>98</v>
      </c>
    </row>
    <row r="250" spans="2:6">
      <c r="B250" s="2" t="s">
        <v>36</v>
      </c>
      <c r="C250" t="str">
        <f>_xlfn.XLOOKUP(B250,Products!$A$2:$A$251,Products!$C$2:$C$251)</f>
        <v>Conversational AI</v>
      </c>
      <c r="D250" t="str">
        <f>_xlfn.XLOOKUP(B250,Sales_Transactions!D$2:D$251,Sales_Transactions!E$2:E$251)</f>
        <v>REP-01</v>
      </c>
      <c r="E250" s="5">
        <v>0</v>
      </c>
      <c r="F250" s="2" t="s">
        <v>26</v>
      </c>
    </row>
    <row r="251" spans="2:6">
      <c r="B251" s="2" t="s">
        <v>57</v>
      </c>
      <c r="C251" t="str">
        <f>_xlfn.XLOOKUP(B251,Products!$A$2:$A$251,Products!$C$2:$C$251)</f>
        <v>Data AI</v>
      </c>
      <c r="D251" t="str">
        <f>_xlfn.XLOOKUP(B251,Sales_Transactions!D$2:D$251,Sales_Transactions!E$2:E$251)</f>
        <v>REP-12</v>
      </c>
      <c r="E251" s="5">
        <v>18000</v>
      </c>
      <c r="F251" s="2" t="s">
        <v>98</v>
      </c>
    </row>
    <row r="252" spans="2:6">
      <c r="B252" s="2" t="s">
        <v>91</v>
      </c>
      <c r="C252" t="str">
        <f>_xlfn.XLOOKUP(B252,Products!$A$2:$A$251,Products!$C$2:$C$251)</f>
        <v>HR AI</v>
      </c>
      <c r="D252" t="str">
        <f>_xlfn.XLOOKUP(B252,Sales_Transactions!D$2:D$251,Sales_Transactions!E$2:E$251)</f>
        <v>REP-09</v>
      </c>
      <c r="E252" s="5">
        <v>1785</v>
      </c>
      <c r="F252" s="2" t="s">
        <v>60</v>
      </c>
    </row>
    <row r="253" spans="2:6">
      <c r="B253" s="2" t="s">
        <v>72</v>
      </c>
      <c r="C253" t="str">
        <f>_xlfn.XLOOKUP(B253,Products!$A$2:$A$251,Products!$C$2:$C$251)</f>
        <v>Generative AI</v>
      </c>
      <c r="D253" t="str">
        <f>_xlfn.XLOOKUP(B253,Sales_Transactions!D$2:D$251,Sales_Transactions!E$2:E$251)</f>
        <v>REP-11</v>
      </c>
      <c r="E253" s="5" t="s">
        <v>17</v>
      </c>
      <c r="F253" s="2" t="s">
        <v>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6A40-EE1F-4882-970B-209DA8F9F722}">
  <dimension ref="A1:H254"/>
  <sheetViews>
    <sheetView workbookViewId="0">
      <selection activeCell="I2" sqref="I2"/>
    </sheetView>
  </sheetViews>
  <sheetFormatPr defaultRowHeight="15"/>
  <cols>
    <col min="3" max="3" width="11.5703125" customWidth="1"/>
    <col min="6" max="6" width="11.7109375" bestFit="1" customWidth="1"/>
    <col min="7" max="7" width="15.7109375" bestFit="1" customWidth="1"/>
    <col min="8" max="8" width="24.42578125" bestFit="1" customWidth="1"/>
    <col min="11" max="11" width="11.42578125" bestFit="1" customWidth="1"/>
    <col min="12" max="13" width="15.7109375" bestFit="1" customWidth="1"/>
  </cols>
  <sheetData>
    <row r="1" spans="1:8" s="14" customFormat="1" ht="46.5" customHeight="1">
      <c r="A1" s="16" t="s">
        <v>755</v>
      </c>
    </row>
    <row r="4" spans="1:8">
      <c r="B4" s="1" t="s">
        <v>2</v>
      </c>
      <c r="C4" s="17" t="s">
        <v>12</v>
      </c>
    </row>
    <row r="5" spans="1:8">
      <c r="B5" s="2" t="s">
        <v>14</v>
      </c>
      <c r="C5" s="18" t="s">
        <v>17</v>
      </c>
    </row>
    <row r="6" spans="1:8">
      <c r="B6" s="2" t="s">
        <v>23</v>
      </c>
      <c r="C6" s="18">
        <v>640</v>
      </c>
    </row>
    <row r="7" spans="1:8">
      <c r="B7" s="2" t="s">
        <v>30</v>
      </c>
      <c r="C7" s="18" t="s">
        <v>17</v>
      </c>
      <c r="F7" s="19" t="s">
        <v>2</v>
      </c>
      <c r="G7" s="25" t="s">
        <v>753</v>
      </c>
      <c r="H7" s="23" t="s">
        <v>366</v>
      </c>
    </row>
    <row r="8" spans="1:8">
      <c r="B8" s="2" t="s">
        <v>35</v>
      </c>
      <c r="C8" s="18">
        <v>0</v>
      </c>
      <c r="F8" s="20" t="s">
        <v>59</v>
      </c>
      <c r="G8" s="26">
        <v>46150</v>
      </c>
      <c r="H8" s="29" t="str">
        <f>_xlfn.XLOOKUP(F8,Clients!A$2:A$61,Clients!B$2:B$61)</f>
        <v>Silverline Systems</v>
      </c>
    </row>
    <row r="9" spans="1:8">
      <c r="B9" s="2" t="s">
        <v>40</v>
      </c>
      <c r="C9" s="18">
        <v>2850</v>
      </c>
      <c r="F9" s="20" t="s">
        <v>114</v>
      </c>
      <c r="G9" s="26">
        <v>32830</v>
      </c>
      <c r="H9" s="29" t="str">
        <f>_xlfn.XLOOKUP(F9,Clients!A$2:A$61,Clients!B$2:B$61)</f>
        <v>Kestrel Labs</v>
      </c>
    </row>
    <row r="10" spans="1:8">
      <c r="B10" s="2" t="s">
        <v>45</v>
      </c>
      <c r="C10" s="18">
        <v>5225</v>
      </c>
      <c r="F10" s="20" t="s">
        <v>144</v>
      </c>
      <c r="G10" s="26">
        <v>26730</v>
      </c>
      <c r="H10" s="29" t="str">
        <f>_xlfn.XLOOKUP(F10,Clients!A$2:A$61,Clients!B$2:B$61)</f>
        <v>Aurelia Systems</v>
      </c>
    </row>
    <row r="11" spans="1:8">
      <c r="B11" s="2" t="s">
        <v>51</v>
      </c>
      <c r="C11" s="18">
        <v>5415</v>
      </c>
      <c r="F11" s="20" t="s">
        <v>155</v>
      </c>
      <c r="G11" s="26">
        <v>21500</v>
      </c>
      <c r="H11" s="29" t="str">
        <f>_xlfn.XLOOKUP(F11,Clients!A$2:A$61,Clients!B$2:B$61)</f>
        <v>Brightmind Solutions</v>
      </c>
    </row>
    <row r="12" spans="1:8">
      <c r="B12" s="2" t="s">
        <v>56</v>
      </c>
      <c r="C12" s="18" t="s">
        <v>17</v>
      </c>
      <c r="F12" s="20" t="s">
        <v>71</v>
      </c>
      <c r="G12" s="26">
        <v>21330</v>
      </c>
      <c r="H12" s="29" t="str">
        <f>_xlfn.XLOOKUP(F12,Clients!A$2:A$61,Clients!B$2:B$61)</f>
        <v>Solara Systems</v>
      </c>
    </row>
    <row r="13" spans="1:8">
      <c r="B13" s="2" t="s">
        <v>59</v>
      </c>
      <c r="C13" s="18">
        <v>16150</v>
      </c>
      <c r="F13" s="20" t="s">
        <v>111</v>
      </c>
      <c r="G13" s="26">
        <v>19965</v>
      </c>
      <c r="H13" s="29" t="str">
        <f>_xlfn.XLOOKUP(F13,Clients!A$2:A$61,Clients!B$2:B$61)</f>
        <v>Vertex Retail</v>
      </c>
    </row>
    <row r="14" spans="1:8">
      <c r="B14" s="2" t="s">
        <v>62</v>
      </c>
      <c r="C14" s="18" t="s">
        <v>17</v>
      </c>
      <c r="F14" s="20" t="s">
        <v>120</v>
      </c>
      <c r="G14" s="26">
        <v>19800</v>
      </c>
      <c r="H14" s="29" t="str">
        <f>_xlfn.XLOOKUP(F14,Clients!A$2:A$61,Clients!B$2:B$61)</f>
        <v>Nexora Consulting</v>
      </c>
    </row>
    <row r="15" spans="1:8">
      <c r="B15" s="2" t="s">
        <v>65</v>
      </c>
      <c r="C15" s="18">
        <v>4180</v>
      </c>
      <c r="F15" s="20" t="s">
        <v>122</v>
      </c>
      <c r="G15" s="26">
        <v>18030</v>
      </c>
      <c r="H15" s="29" t="str">
        <f>_xlfn.XLOOKUP(F15,Clients!A$2:A$61,Clients!B$2:B$61)</f>
        <v>Brightmind Finance Group</v>
      </c>
    </row>
    <row r="16" spans="1:8">
      <c r="B16" s="2" t="s">
        <v>67</v>
      </c>
      <c r="C16" s="18">
        <v>3420</v>
      </c>
      <c r="F16" s="20" t="s">
        <v>281</v>
      </c>
      <c r="G16" s="26">
        <v>18000</v>
      </c>
      <c r="H16" s="29" t="str">
        <f>_xlfn.XLOOKUP(F16,Clients!A$2:A$61,Clients!B$2:B$61)</f>
        <v>Meridian Systems</v>
      </c>
    </row>
    <row r="17" spans="2:8">
      <c r="B17" s="2" t="s">
        <v>71</v>
      </c>
      <c r="C17" s="18">
        <v>1900</v>
      </c>
      <c r="F17" s="22" t="s">
        <v>151</v>
      </c>
      <c r="G17" s="27">
        <v>17167.5</v>
      </c>
      <c r="H17" s="29" t="str">
        <f>_xlfn.XLOOKUP(F17,Clients!A$2:A$61,Clients!B$2:B$61)</f>
        <v>Thornton Global</v>
      </c>
    </row>
    <row r="18" spans="2:8">
      <c r="B18" s="2" t="s">
        <v>62</v>
      </c>
      <c r="C18" s="18" t="s">
        <v>17</v>
      </c>
      <c r="F18" s="21" t="s">
        <v>754</v>
      </c>
      <c r="G18" s="28">
        <f>SUM(G8:G17)</f>
        <v>241502.5</v>
      </c>
      <c r="H18" s="24"/>
    </row>
    <row r="19" spans="2:8">
      <c r="B19" s="2" t="s">
        <v>78</v>
      </c>
      <c r="C19" s="18">
        <v>950</v>
      </c>
    </row>
    <row r="20" spans="2:8">
      <c r="B20" s="2" t="s">
        <v>81</v>
      </c>
      <c r="C20" s="18">
        <v>4512.5</v>
      </c>
    </row>
    <row r="21" spans="2:8">
      <c r="B21" s="2" t="s">
        <v>84</v>
      </c>
      <c r="C21" s="18" t="s">
        <v>17</v>
      </c>
    </row>
    <row r="22" spans="2:8">
      <c r="B22" s="2" t="s">
        <v>84</v>
      </c>
      <c r="C22" s="18">
        <v>3300</v>
      </c>
    </row>
    <row r="23" spans="2:8">
      <c r="B23" s="2" t="s">
        <v>90</v>
      </c>
      <c r="C23" s="18" t="s">
        <v>17</v>
      </c>
    </row>
    <row r="24" spans="2:8">
      <c r="B24" s="2" t="s">
        <v>30</v>
      </c>
      <c r="C24" s="18" t="s">
        <v>17</v>
      </c>
    </row>
    <row r="25" spans="2:8">
      <c r="B25" s="2" t="s">
        <v>94</v>
      </c>
      <c r="C25" s="18">
        <v>-450</v>
      </c>
    </row>
    <row r="26" spans="2:8">
      <c r="B26" s="2" t="s">
        <v>96</v>
      </c>
      <c r="C26" s="18">
        <v>0</v>
      </c>
    </row>
    <row r="27" spans="2:8">
      <c r="B27" s="2" t="s">
        <v>94</v>
      </c>
      <c r="C27" s="18">
        <v>1900</v>
      </c>
    </row>
    <row r="28" spans="2:8">
      <c r="B28" s="2" t="s">
        <v>101</v>
      </c>
      <c r="C28" s="18">
        <v>1190</v>
      </c>
    </row>
    <row r="29" spans="2:8">
      <c r="B29" s="2" t="s">
        <v>103</v>
      </c>
      <c r="C29" s="18">
        <v>3960</v>
      </c>
    </row>
    <row r="30" spans="2:8">
      <c r="B30" s="2" t="s">
        <v>59</v>
      </c>
      <c r="C30" s="18" t="s">
        <v>17</v>
      </c>
    </row>
    <row r="31" spans="2:8">
      <c r="B31" s="2" t="s">
        <v>106</v>
      </c>
      <c r="C31" s="18" t="s">
        <v>17</v>
      </c>
    </row>
    <row r="32" spans="2:8">
      <c r="B32" s="2" t="s">
        <v>96</v>
      </c>
      <c r="C32" s="18">
        <v>1700</v>
      </c>
    </row>
    <row r="33" spans="2:3">
      <c r="B33" s="2" t="s">
        <v>109</v>
      </c>
      <c r="C33" s="18" t="s">
        <v>17</v>
      </c>
    </row>
    <row r="34" spans="2:3">
      <c r="B34" s="2" t="s">
        <v>111</v>
      </c>
      <c r="C34" s="18">
        <v>2800</v>
      </c>
    </row>
    <row r="35" spans="2:3">
      <c r="B35" s="2" t="s">
        <v>114</v>
      </c>
      <c r="C35" s="18" t="s">
        <v>17</v>
      </c>
    </row>
    <row r="36" spans="2:3">
      <c r="B36" s="2" t="s">
        <v>78</v>
      </c>
      <c r="C36" s="18" t="s">
        <v>17</v>
      </c>
    </row>
    <row r="37" spans="2:3">
      <c r="B37" s="2" t="s">
        <v>35</v>
      </c>
      <c r="C37" s="18" t="s">
        <v>17</v>
      </c>
    </row>
    <row r="38" spans="2:3">
      <c r="B38" s="2" t="s">
        <v>111</v>
      </c>
      <c r="C38" s="18">
        <v>3200</v>
      </c>
    </row>
    <row r="39" spans="2:3">
      <c r="B39" s="2" t="s">
        <v>45</v>
      </c>
      <c r="C39" s="18">
        <v>4000</v>
      </c>
    </row>
    <row r="40" spans="2:3">
      <c r="B40" s="2" t="s">
        <v>120</v>
      </c>
      <c r="C40" s="18" t="s">
        <v>17</v>
      </c>
    </row>
    <row r="41" spans="2:3">
      <c r="B41" s="2" t="s">
        <v>122</v>
      </c>
      <c r="C41" s="18" t="s">
        <v>17</v>
      </c>
    </row>
    <row r="42" spans="2:3">
      <c r="B42" s="2" t="s">
        <v>124</v>
      </c>
      <c r="C42" s="18">
        <v>-990</v>
      </c>
    </row>
    <row r="43" spans="2:3">
      <c r="B43" s="2" t="s">
        <v>120</v>
      </c>
      <c r="C43" s="18" t="s">
        <v>17</v>
      </c>
    </row>
    <row r="44" spans="2:3">
      <c r="B44" s="2" t="s">
        <v>127</v>
      </c>
      <c r="C44" s="18" t="s">
        <v>17</v>
      </c>
    </row>
    <row r="45" spans="2:3">
      <c r="B45" s="2" t="s">
        <v>14</v>
      </c>
      <c r="C45" s="18" t="s">
        <v>17</v>
      </c>
    </row>
    <row r="46" spans="2:3">
      <c r="B46" s="2" t="s">
        <v>23</v>
      </c>
      <c r="C46" s="18" t="s">
        <v>17</v>
      </c>
    </row>
    <row r="47" spans="2:3">
      <c r="B47" s="2" t="s">
        <v>131</v>
      </c>
      <c r="C47" s="18">
        <v>4000</v>
      </c>
    </row>
    <row r="48" spans="2:3">
      <c r="B48" s="2" t="s">
        <v>78</v>
      </c>
      <c r="C48" s="18" t="s">
        <v>17</v>
      </c>
    </row>
    <row r="49" spans="2:3">
      <c r="B49" s="2" t="s">
        <v>40</v>
      </c>
      <c r="C49" s="18">
        <v>0</v>
      </c>
    </row>
    <row r="50" spans="2:3">
      <c r="B50" s="2" t="s">
        <v>65</v>
      </c>
      <c r="C50" s="18" t="s">
        <v>17</v>
      </c>
    </row>
    <row r="51" spans="2:3">
      <c r="B51" s="2" t="s">
        <v>81</v>
      </c>
      <c r="C51" s="18">
        <v>4080</v>
      </c>
    </row>
    <row r="52" spans="2:3">
      <c r="B52" s="2" t="s">
        <v>90</v>
      </c>
      <c r="C52" s="18">
        <v>2280</v>
      </c>
    </row>
    <row r="53" spans="2:3">
      <c r="B53" s="2" t="s">
        <v>51</v>
      </c>
      <c r="C53" s="18" t="s">
        <v>17</v>
      </c>
    </row>
    <row r="54" spans="2:3">
      <c r="B54" s="2" t="s">
        <v>94</v>
      </c>
      <c r="C54" s="18" t="s">
        <v>17</v>
      </c>
    </row>
    <row r="55" spans="2:3">
      <c r="B55" s="2" t="s">
        <v>140</v>
      </c>
      <c r="C55" s="18">
        <v>4000</v>
      </c>
    </row>
    <row r="56" spans="2:3">
      <c r="B56" s="2" t="s">
        <v>142</v>
      </c>
      <c r="C56" s="18">
        <v>5100</v>
      </c>
    </row>
    <row r="57" spans="2:3">
      <c r="B57" s="2" t="s">
        <v>144</v>
      </c>
      <c r="C57" s="18">
        <v>1870</v>
      </c>
    </row>
    <row r="58" spans="2:3">
      <c r="B58" s="2" t="s">
        <v>111</v>
      </c>
      <c r="C58" s="18" t="s">
        <v>17</v>
      </c>
    </row>
    <row r="59" spans="2:3">
      <c r="B59" s="2" t="s">
        <v>147</v>
      </c>
      <c r="C59" s="18">
        <v>3840</v>
      </c>
    </row>
    <row r="60" spans="2:3">
      <c r="B60" s="2" t="s">
        <v>149</v>
      </c>
      <c r="C60" s="18" t="s">
        <v>17</v>
      </c>
    </row>
    <row r="61" spans="2:3">
      <c r="B61" s="2" t="s">
        <v>151</v>
      </c>
      <c r="C61" s="18">
        <v>4800</v>
      </c>
    </row>
    <row r="62" spans="2:3">
      <c r="B62" s="2" t="s">
        <v>153</v>
      </c>
      <c r="C62" s="18" t="s">
        <v>17</v>
      </c>
    </row>
    <row r="63" spans="2:3">
      <c r="B63" s="2" t="s">
        <v>155</v>
      </c>
      <c r="C63" s="18" t="s">
        <v>17</v>
      </c>
    </row>
    <row r="64" spans="2:3">
      <c r="B64" s="2" t="s">
        <v>155</v>
      </c>
      <c r="C64" s="18">
        <v>6840</v>
      </c>
    </row>
    <row r="65" spans="2:3">
      <c r="B65" s="2" t="s">
        <v>158</v>
      </c>
      <c r="C65" s="18">
        <v>4800</v>
      </c>
    </row>
    <row r="66" spans="2:3">
      <c r="B66" s="2" t="s">
        <v>106</v>
      </c>
      <c r="C66" s="18">
        <v>1575</v>
      </c>
    </row>
    <row r="67" spans="2:3">
      <c r="B67" s="2" t="s">
        <v>161</v>
      </c>
      <c r="C67" s="18">
        <v>6600</v>
      </c>
    </row>
    <row r="68" spans="2:3">
      <c r="B68" s="2" t="s">
        <v>111</v>
      </c>
      <c r="C68" s="18" t="s">
        <v>17</v>
      </c>
    </row>
    <row r="69" spans="2:3">
      <c r="B69" s="2" t="s">
        <v>142</v>
      </c>
      <c r="C69" s="18">
        <v>850</v>
      </c>
    </row>
    <row r="70" spans="2:3">
      <c r="B70" s="2" t="s">
        <v>84</v>
      </c>
      <c r="C70" s="18" t="s">
        <v>17</v>
      </c>
    </row>
    <row r="71" spans="2:3">
      <c r="B71" s="2" t="s">
        <v>71</v>
      </c>
      <c r="C71" s="18">
        <v>4725</v>
      </c>
    </row>
    <row r="72" spans="2:3">
      <c r="B72" s="2" t="s">
        <v>109</v>
      </c>
      <c r="C72" s="18" t="s">
        <v>17</v>
      </c>
    </row>
    <row r="73" spans="2:3">
      <c r="B73" s="2" t="s">
        <v>109</v>
      </c>
      <c r="C73" s="18">
        <v>1785</v>
      </c>
    </row>
    <row r="74" spans="2:3">
      <c r="B74" s="2" t="s">
        <v>30</v>
      </c>
      <c r="C74" s="18" t="s">
        <v>17</v>
      </c>
    </row>
    <row r="75" spans="2:3">
      <c r="B75" s="2" t="s">
        <v>170</v>
      </c>
      <c r="C75" s="18" t="s">
        <v>17</v>
      </c>
    </row>
    <row r="76" spans="2:3">
      <c r="B76" s="2" t="s">
        <v>67</v>
      </c>
      <c r="C76" s="18">
        <v>2975</v>
      </c>
    </row>
    <row r="77" spans="2:3">
      <c r="B77" s="2" t="s">
        <v>173</v>
      </c>
      <c r="C77" s="18">
        <v>2975</v>
      </c>
    </row>
    <row r="78" spans="2:3">
      <c r="B78" s="2" t="s">
        <v>122</v>
      </c>
      <c r="C78" s="18" t="s">
        <v>17</v>
      </c>
    </row>
    <row r="79" spans="2:3">
      <c r="B79" s="2" t="s">
        <v>51</v>
      </c>
      <c r="C79" s="18">
        <v>1800</v>
      </c>
    </row>
    <row r="80" spans="2:3">
      <c r="B80" s="2" t="s">
        <v>140</v>
      </c>
      <c r="C80" s="18">
        <v>2640</v>
      </c>
    </row>
    <row r="81" spans="2:3">
      <c r="B81" s="2" t="s">
        <v>127</v>
      </c>
      <c r="C81" s="18" t="s">
        <v>17</v>
      </c>
    </row>
    <row r="82" spans="2:3">
      <c r="B82" s="2" t="s">
        <v>71</v>
      </c>
      <c r="C82" s="18" t="s">
        <v>17</v>
      </c>
    </row>
    <row r="83" spans="2:3">
      <c r="B83" s="2" t="s">
        <v>56</v>
      </c>
      <c r="C83" s="18">
        <v>4080</v>
      </c>
    </row>
    <row r="84" spans="2:3">
      <c r="B84" s="2" t="s">
        <v>181</v>
      </c>
      <c r="C84" s="18" t="s">
        <v>17</v>
      </c>
    </row>
    <row r="85" spans="2:3">
      <c r="B85" s="2" t="s">
        <v>114</v>
      </c>
      <c r="C85" s="18">
        <v>1080</v>
      </c>
    </row>
    <row r="86" spans="2:3">
      <c r="B86" s="2" t="s">
        <v>147</v>
      </c>
      <c r="C86" s="18">
        <v>8800</v>
      </c>
    </row>
    <row r="87" spans="2:3">
      <c r="B87" s="2" t="s">
        <v>40</v>
      </c>
      <c r="C87" s="18" t="s">
        <v>17</v>
      </c>
    </row>
    <row r="88" spans="2:3">
      <c r="B88" s="2" t="s">
        <v>149</v>
      </c>
      <c r="C88" s="18">
        <v>3600</v>
      </c>
    </row>
    <row r="89" spans="2:3">
      <c r="B89" s="2" t="s">
        <v>144</v>
      </c>
      <c r="C89" s="18">
        <v>6800</v>
      </c>
    </row>
    <row r="90" spans="2:3">
      <c r="B90" s="2" t="s">
        <v>127</v>
      </c>
      <c r="C90" s="18" t="s">
        <v>17</v>
      </c>
    </row>
    <row r="91" spans="2:3">
      <c r="B91" s="2" t="s">
        <v>181</v>
      </c>
      <c r="C91" s="18" t="s">
        <v>17</v>
      </c>
    </row>
    <row r="92" spans="2:3">
      <c r="B92" s="2" t="s">
        <v>40</v>
      </c>
      <c r="C92" s="18" t="s">
        <v>17</v>
      </c>
    </row>
    <row r="93" spans="2:3">
      <c r="B93" s="2" t="s">
        <v>78</v>
      </c>
      <c r="C93" s="18">
        <v>4987.5</v>
      </c>
    </row>
    <row r="94" spans="2:3">
      <c r="B94" s="2" t="s">
        <v>127</v>
      </c>
      <c r="C94" s="18" t="s">
        <v>17</v>
      </c>
    </row>
    <row r="95" spans="2:3">
      <c r="B95" s="2" t="s">
        <v>111</v>
      </c>
      <c r="C95" s="18">
        <v>1615</v>
      </c>
    </row>
    <row r="96" spans="2:3">
      <c r="B96" s="2" t="s">
        <v>170</v>
      </c>
      <c r="C96" s="18" t="s">
        <v>17</v>
      </c>
    </row>
    <row r="97" spans="2:3">
      <c r="B97" s="2" t="s">
        <v>195</v>
      </c>
      <c r="C97" s="18">
        <v>1890</v>
      </c>
    </row>
    <row r="98" spans="2:3">
      <c r="B98" s="2" t="s">
        <v>71</v>
      </c>
      <c r="C98" s="18" t="s">
        <v>17</v>
      </c>
    </row>
    <row r="99" spans="2:3">
      <c r="B99" s="2" t="s">
        <v>40</v>
      </c>
      <c r="C99" s="18" t="s">
        <v>17</v>
      </c>
    </row>
    <row r="100" spans="2:3">
      <c r="B100" s="2" t="s">
        <v>96</v>
      </c>
      <c r="C100" s="18" t="s">
        <v>17</v>
      </c>
    </row>
    <row r="101" spans="2:3">
      <c r="B101" s="2" t="s">
        <v>59</v>
      </c>
      <c r="C101" s="18">
        <v>22000</v>
      </c>
    </row>
    <row r="102" spans="2:3">
      <c r="B102" s="2" t="s">
        <v>62</v>
      </c>
      <c r="C102" s="18" t="s">
        <v>17</v>
      </c>
    </row>
    <row r="103" spans="2:3">
      <c r="B103" s="2" t="s">
        <v>114</v>
      </c>
      <c r="C103" s="18">
        <v>12750</v>
      </c>
    </row>
    <row r="104" spans="2:3">
      <c r="B104" s="2" t="s">
        <v>158</v>
      </c>
      <c r="C104" s="18" t="s">
        <v>17</v>
      </c>
    </row>
    <row r="105" spans="2:3">
      <c r="B105" s="2" t="s">
        <v>71</v>
      </c>
      <c r="C105" s="18">
        <v>10450</v>
      </c>
    </row>
    <row r="106" spans="2:3">
      <c r="B106" s="2" t="s">
        <v>205</v>
      </c>
      <c r="C106" s="18" t="s">
        <v>17</v>
      </c>
    </row>
    <row r="107" spans="2:3">
      <c r="B107" s="2" t="s">
        <v>111</v>
      </c>
      <c r="C107" s="18">
        <v>4750</v>
      </c>
    </row>
    <row r="108" spans="2:3">
      <c r="B108" s="2" t="s">
        <v>81</v>
      </c>
      <c r="C108" s="18">
        <v>-1900</v>
      </c>
    </row>
    <row r="109" spans="2:3">
      <c r="B109" s="2" t="s">
        <v>101</v>
      </c>
      <c r="C109" s="18">
        <v>0</v>
      </c>
    </row>
    <row r="110" spans="2:3">
      <c r="B110" s="2" t="s">
        <v>81</v>
      </c>
      <c r="C110" s="18" t="s">
        <v>17</v>
      </c>
    </row>
    <row r="111" spans="2:3">
      <c r="B111" s="2" t="s">
        <v>211</v>
      </c>
      <c r="C111" s="18" t="s">
        <v>17</v>
      </c>
    </row>
    <row r="112" spans="2:3">
      <c r="B112" s="2" t="s">
        <v>59</v>
      </c>
      <c r="C112" s="18">
        <v>8000</v>
      </c>
    </row>
    <row r="113" spans="2:3">
      <c r="B113" s="2" t="s">
        <v>90</v>
      </c>
      <c r="C113" s="18">
        <v>4400</v>
      </c>
    </row>
    <row r="114" spans="2:3">
      <c r="B114" s="2" t="s">
        <v>62</v>
      </c>
      <c r="C114" s="18" t="s">
        <v>17</v>
      </c>
    </row>
    <row r="115" spans="2:3">
      <c r="B115" s="2" t="s">
        <v>173</v>
      </c>
      <c r="C115" s="18" t="s">
        <v>17</v>
      </c>
    </row>
    <row r="116" spans="2:3">
      <c r="B116" s="2" t="s">
        <v>144</v>
      </c>
      <c r="C116" s="18">
        <v>1260</v>
      </c>
    </row>
    <row r="117" spans="2:3">
      <c r="B117" s="2" t="s">
        <v>173</v>
      </c>
      <c r="C117" s="18">
        <v>1900</v>
      </c>
    </row>
    <row r="118" spans="2:3">
      <c r="B118" s="2" t="s">
        <v>51</v>
      </c>
      <c r="C118" s="18">
        <v>1020</v>
      </c>
    </row>
    <row r="119" spans="2:3">
      <c r="B119" s="2" t="s">
        <v>14</v>
      </c>
      <c r="C119" s="18" t="s">
        <v>17</v>
      </c>
    </row>
    <row r="120" spans="2:3">
      <c r="B120" s="2" t="s">
        <v>35</v>
      </c>
      <c r="C120" s="18" t="s">
        <v>17</v>
      </c>
    </row>
    <row r="121" spans="2:3">
      <c r="B121" s="2" t="s">
        <v>30</v>
      </c>
      <c r="C121" s="18">
        <v>4037.5</v>
      </c>
    </row>
    <row r="122" spans="2:3">
      <c r="B122" s="2" t="s">
        <v>45</v>
      </c>
      <c r="C122" s="18">
        <v>1400</v>
      </c>
    </row>
    <row r="123" spans="2:3">
      <c r="B123" s="2" t="s">
        <v>122</v>
      </c>
      <c r="C123" s="18">
        <v>640</v>
      </c>
    </row>
    <row r="124" spans="2:3">
      <c r="B124" s="2" t="s">
        <v>144</v>
      </c>
      <c r="C124" s="18">
        <v>-1900</v>
      </c>
    </row>
    <row r="125" spans="2:3">
      <c r="B125" s="2" t="s">
        <v>81</v>
      </c>
      <c r="C125" s="18" t="s">
        <v>17</v>
      </c>
    </row>
    <row r="126" spans="2:3">
      <c r="B126" s="2" t="s">
        <v>65</v>
      </c>
      <c r="C126" s="18" t="s">
        <v>17</v>
      </c>
    </row>
    <row r="127" spans="2:3">
      <c r="B127" s="2" t="s">
        <v>40</v>
      </c>
      <c r="C127" s="18">
        <v>3600</v>
      </c>
    </row>
    <row r="128" spans="2:3">
      <c r="B128" s="2" t="s">
        <v>106</v>
      </c>
      <c r="C128" s="18">
        <v>7220</v>
      </c>
    </row>
    <row r="129" spans="2:3">
      <c r="B129" s="2" t="s">
        <v>140</v>
      </c>
      <c r="C129" s="18" t="s">
        <v>17</v>
      </c>
    </row>
    <row r="130" spans="2:3">
      <c r="B130" s="2" t="s">
        <v>84</v>
      </c>
      <c r="C130" s="18" t="s">
        <v>17</v>
      </c>
    </row>
    <row r="131" spans="2:3">
      <c r="B131" s="2" t="s">
        <v>147</v>
      </c>
      <c r="C131" s="18" t="s">
        <v>17</v>
      </c>
    </row>
    <row r="132" spans="2:3">
      <c r="B132" s="2" t="s">
        <v>233</v>
      </c>
      <c r="C132" s="18">
        <v>3420</v>
      </c>
    </row>
    <row r="133" spans="2:3">
      <c r="B133" s="2" t="s">
        <v>195</v>
      </c>
      <c r="C133" s="18" t="s">
        <v>17</v>
      </c>
    </row>
    <row r="134" spans="2:3">
      <c r="B134" s="2" t="s">
        <v>142</v>
      </c>
      <c r="C134" s="18">
        <v>360</v>
      </c>
    </row>
    <row r="135" spans="2:3">
      <c r="B135" s="2" t="s">
        <v>71</v>
      </c>
      <c r="C135" s="18" t="s">
        <v>17</v>
      </c>
    </row>
    <row r="136" spans="2:3">
      <c r="B136" s="2" t="s">
        <v>35</v>
      </c>
      <c r="C136" s="18">
        <v>5950</v>
      </c>
    </row>
    <row r="137" spans="2:3">
      <c r="B137" s="2" t="s">
        <v>239</v>
      </c>
      <c r="C137" s="18" t="s">
        <v>17</v>
      </c>
    </row>
    <row r="138" spans="2:3">
      <c r="B138" s="2" t="s">
        <v>241</v>
      </c>
      <c r="C138" s="18">
        <v>0</v>
      </c>
    </row>
    <row r="139" spans="2:3">
      <c r="B139" s="2" t="s">
        <v>140</v>
      </c>
      <c r="C139" s="18">
        <v>-1600</v>
      </c>
    </row>
    <row r="140" spans="2:3">
      <c r="B140" s="2" t="s">
        <v>90</v>
      </c>
      <c r="C140" s="18" t="s">
        <v>17</v>
      </c>
    </row>
    <row r="141" spans="2:3">
      <c r="B141" s="2" t="s">
        <v>181</v>
      </c>
      <c r="C141" s="18">
        <v>11400</v>
      </c>
    </row>
    <row r="142" spans="2:3">
      <c r="B142" s="2" t="s">
        <v>35</v>
      </c>
      <c r="C142" s="18">
        <v>3135</v>
      </c>
    </row>
    <row r="143" spans="2:3">
      <c r="B143" s="2" t="s">
        <v>241</v>
      </c>
      <c r="C143" s="18">
        <v>640</v>
      </c>
    </row>
    <row r="144" spans="2:3">
      <c r="B144" s="2" t="s">
        <v>96</v>
      </c>
      <c r="C144" s="18">
        <v>-320</v>
      </c>
    </row>
    <row r="145" spans="2:3">
      <c r="B145" s="2" t="s">
        <v>103</v>
      </c>
      <c r="C145" s="18" t="s">
        <v>17</v>
      </c>
    </row>
    <row r="146" spans="2:3">
      <c r="B146" s="2" t="s">
        <v>250</v>
      </c>
      <c r="C146" s="18">
        <v>1995</v>
      </c>
    </row>
    <row r="147" spans="2:3">
      <c r="B147" s="2" t="s">
        <v>94</v>
      </c>
      <c r="C147" s="18">
        <v>1600</v>
      </c>
    </row>
    <row r="148" spans="2:3">
      <c r="B148" s="2" t="s">
        <v>253</v>
      </c>
      <c r="C148" s="18" t="s">
        <v>17</v>
      </c>
    </row>
    <row r="149" spans="2:3">
      <c r="B149" s="2" t="s">
        <v>45</v>
      </c>
      <c r="C149" s="18" t="s">
        <v>17</v>
      </c>
    </row>
    <row r="150" spans="2:3">
      <c r="B150" s="2" t="s">
        <v>173</v>
      </c>
      <c r="C150" s="18">
        <v>3150</v>
      </c>
    </row>
    <row r="151" spans="2:3">
      <c r="B151" s="2" t="s">
        <v>96</v>
      </c>
      <c r="C151" s="18" t="s">
        <v>17</v>
      </c>
    </row>
    <row r="152" spans="2:3">
      <c r="B152" s="2" t="s">
        <v>250</v>
      </c>
      <c r="C152" s="18">
        <v>0</v>
      </c>
    </row>
    <row r="153" spans="2:3">
      <c r="B153" s="2" t="s">
        <v>170</v>
      </c>
      <c r="C153" s="18" t="s">
        <v>17</v>
      </c>
    </row>
    <row r="154" spans="2:3">
      <c r="B154" s="2" t="s">
        <v>155</v>
      </c>
      <c r="C154" s="18">
        <v>15000</v>
      </c>
    </row>
    <row r="155" spans="2:3">
      <c r="B155" s="2" t="s">
        <v>253</v>
      </c>
      <c r="C155" s="18">
        <v>7600</v>
      </c>
    </row>
    <row r="156" spans="2:3">
      <c r="B156" s="2" t="s">
        <v>71</v>
      </c>
      <c r="C156" s="18" t="s">
        <v>17</v>
      </c>
    </row>
    <row r="157" spans="2:3">
      <c r="B157" s="2" t="s">
        <v>131</v>
      </c>
      <c r="C157" s="18">
        <v>2090</v>
      </c>
    </row>
    <row r="158" spans="2:3">
      <c r="B158" s="2" t="s">
        <v>264</v>
      </c>
      <c r="C158" s="18" t="s">
        <v>17</v>
      </c>
    </row>
    <row r="159" spans="2:3">
      <c r="B159" s="2" t="s">
        <v>62</v>
      </c>
      <c r="C159" s="18" t="s">
        <v>17</v>
      </c>
    </row>
    <row r="160" spans="2:3">
      <c r="B160" s="2" t="s">
        <v>147</v>
      </c>
      <c r="C160" s="18">
        <v>500</v>
      </c>
    </row>
    <row r="161" spans="2:3">
      <c r="B161" s="2" t="s">
        <v>239</v>
      </c>
      <c r="C161" s="18">
        <v>1400</v>
      </c>
    </row>
    <row r="162" spans="2:3">
      <c r="B162" s="2" t="s">
        <v>144</v>
      </c>
      <c r="C162" s="18">
        <v>18700</v>
      </c>
    </row>
    <row r="163" spans="2:3">
      <c r="B163" s="2" t="s">
        <v>181</v>
      </c>
      <c r="C163" s="18">
        <v>0</v>
      </c>
    </row>
    <row r="164" spans="2:3">
      <c r="B164" s="2" t="s">
        <v>149</v>
      </c>
      <c r="C164" s="18">
        <v>4275</v>
      </c>
    </row>
    <row r="165" spans="2:3">
      <c r="B165" s="2" t="s">
        <v>84</v>
      </c>
      <c r="C165" s="18" t="s">
        <v>17</v>
      </c>
    </row>
    <row r="166" spans="2:3">
      <c r="B166" s="2" t="s">
        <v>131</v>
      </c>
      <c r="C166" s="18" t="s">
        <v>17</v>
      </c>
    </row>
    <row r="167" spans="2:3">
      <c r="B167" s="2" t="s">
        <v>71</v>
      </c>
      <c r="C167" s="18">
        <v>3400</v>
      </c>
    </row>
    <row r="168" spans="2:3">
      <c r="B168" s="2" t="s">
        <v>71</v>
      </c>
      <c r="C168" s="18">
        <v>855</v>
      </c>
    </row>
    <row r="169" spans="2:3">
      <c r="B169" s="2" t="s">
        <v>106</v>
      </c>
      <c r="C169" s="18" t="s">
        <v>17</v>
      </c>
    </row>
    <row r="170" spans="2:3">
      <c r="B170" s="2" t="s">
        <v>94</v>
      </c>
      <c r="C170" s="18">
        <v>2000</v>
      </c>
    </row>
    <row r="171" spans="2:3">
      <c r="B171" s="2" t="s">
        <v>56</v>
      </c>
      <c r="C171" s="18">
        <v>3800</v>
      </c>
    </row>
    <row r="172" spans="2:3">
      <c r="B172" s="2" t="s">
        <v>30</v>
      </c>
      <c r="C172" s="18" t="s">
        <v>17</v>
      </c>
    </row>
    <row r="173" spans="2:3">
      <c r="B173" s="2" t="s">
        <v>23</v>
      </c>
      <c r="C173" s="18">
        <v>760</v>
      </c>
    </row>
    <row r="174" spans="2:3">
      <c r="B174" s="2" t="s">
        <v>281</v>
      </c>
      <c r="C174" s="18" t="s">
        <v>17</v>
      </c>
    </row>
    <row r="175" spans="2:3">
      <c r="B175" s="2" t="s">
        <v>281</v>
      </c>
      <c r="C175" s="18" t="s">
        <v>17</v>
      </c>
    </row>
    <row r="176" spans="2:3">
      <c r="B176" s="2" t="s">
        <v>158</v>
      </c>
      <c r="C176" s="18">
        <v>3740</v>
      </c>
    </row>
    <row r="177" spans="2:3">
      <c r="B177" s="2" t="s">
        <v>151</v>
      </c>
      <c r="C177" s="18">
        <v>1330</v>
      </c>
    </row>
    <row r="178" spans="2:3">
      <c r="B178" s="2" t="s">
        <v>67</v>
      </c>
      <c r="C178" s="18" t="s">
        <v>17</v>
      </c>
    </row>
    <row r="179" spans="2:3">
      <c r="B179" s="2" t="s">
        <v>120</v>
      </c>
      <c r="C179" s="18">
        <v>19800</v>
      </c>
    </row>
    <row r="180" spans="2:3">
      <c r="B180" s="2" t="s">
        <v>253</v>
      </c>
      <c r="C180" s="18">
        <v>6400</v>
      </c>
    </row>
    <row r="181" spans="2:3">
      <c r="B181" s="2" t="s">
        <v>161</v>
      </c>
      <c r="C181" s="18">
        <v>1805</v>
      </c>
    </row>
    <row r="182" spans="2:3">
      <c r="B182" s="2" t="s">
        <v>181</v>
      </c>
      <c r="C182" s="18">
        <v>4080</v>
      </c>
    </row>
    <row r="183" spans="2:3">
      <c r="B183" s="2" t="s">
        <v>120</v>
      </c>
      <c r="C183" s="18" t="s">
        <v>17</v>
      </c>
    </row>
    <row r="184" spans="2:3">
      <c r="B184" s="2" t="s">
        <v>127</v>
      </c>
      <c r="C184" s="18" t="s">
        <v>17</v>
      </c>
    </row>
    <row r="185" spans="2:3">
      <c r="B185" s="2" t="s">
        <v>250</v>
      </c>
      <c r="C185" s="18" t="s">
        <v>17</v>
      </c>
    </row>
    <row r="186" spans="2:3">
      <c r="B186" s="2" t="s">
        <v>147</v>
      </c>
      <c r="C186" s="18">
        <v>400</v>
      </c>
    </row>
    <row r="187" spans="2:3">
      <c r="B187" s="2" t="s">
        <v>253</v>
      </c>
      <c r="C187" s="18">
        <v>-1275</v>
      </c>
    </row>
    <row r="188" spans="2:3">
      <c r="B188" s="2" t="s">
        <v>67</v>
      </c>
      <c r="C188" s="18">
        <v>-400</v>
      </c>
    </row>
    <row r="189" spans="2:3">
      <c r="B189" s="2" t="s">
        <v>35</v>
      </c>
      <c r="C189" s="18">
        <v>4180</v>
      </c>
    </row>
    <row r="190" spans="2:3">
      <c r="B190" s="2" t="s">
        <v>122</v>
      </c>
      <c r="C190" s="18">
        <v>9350</v>
      </c>
    </row>
    <row r="191" spans="2:3">
      <c r="B191" s="2" t="s">
        <v>264</v>
      </c>
      <c r="C191" s="18" t="s">
        <v>17</v>
      </c>
    </row>
    <row r="192" spans="2:3">
      <c r="B192" s="2" t="s">
        <v>67</v>
      </c>
      <c r="C192" s="18" t="s">
        <v>17</v>
      </c>
    </row>
    <row r="193" spans="2:3">
      <c r="B193" s="2" t="s">
        <v>94</v>
      </c>
      <c r="C193" s="18" t="s">
        <v>17</v>
      </c>
    </row>
    <row r="194" spans="2:3">
      <c r="B194" s="2" t="s">
        <v>147</v>
      </c>
      <c r="C194" s="18" t="s">
        <v>17</v>
      </c>
    </row>
    <row r="195" spans="2:3">
      <c r="B195" s="2" t="s">
        <v>45</v>
      </c>
      <c r="C195" s="18">
        <v>1120</v>
      </c>
    </row>
    <row r="196" spans="2:3">
      <c r="B196" s="2" t="s">
        <v>233</v>
      </c>
      <c r="C196" s="18">
        <v>7600</v>
      </c>
    </row>
    <row r="197" spans="2:3">
      <c r="B197" s="2" t="s">
        <v>81</v>
      </c>
      <c r="C197" s="18">
        <v>680</v>
      </c>
    </row>
    <row r="198" spans="2:3">
      <c r="B198" s="2" t="s">
        <v>56</v>
      </c>
      <c r="C198" s="18">
        <v>2850</v>
      </c>
    </row>
    <row r="199" spans="2:3">
      <c r="B199" s="2" t="s">
        <v>155</v>
      </c>
      <c r="C199" s="18">
        <v>-340</v>
      </c>
    </row>
    <row r="200" spans="2:3">
      <c r="B200" s="2" t="s">
        <v>122</v>
      </c>
      <c r="C200" s="18">
        <v>2090</v>
      </c>
    </row>
    <row r="201" spans="2:3">
      <c r="B201" s="2" t="s">
        <v>153</v>
      </c>
      <c r="C201" s="18">
        <v>1710</v>
      </c>
    </row>
    <row r="202" spans="2:3">
      <c r="B202" s="2" t="s">
        <v>155</v>
      </c>
      <c r="C202" s="18" t="s">
        <v>17</v>
      </c>
    </row>
    <row r="203" spans="2:3">
      <c r="B203" s="2" t="s">
        <v>264</v>
      </c>
      <c r="C203" s="18" t="s">
        <v>17</v>
      </c>
    </row>
    <row r="204" spans="2:3">
      <c r="B204" s="2" t="s">
        <v>65</v>
      </c>
      <c r="C204" s="18" t="s">
        <v>17</v>
      </c>
    </row>
    <row r="205" spans="2:3">
      <c r="B205" s="2" t="s">
        <v>211</v>
      </c>
      <c r="C205" s="18">
        <v>-320</v>
      </c>
    </row>
    <row r="206" spans="2:3">
      <c r="B206" s="2" t="s">
        <v>109</v>
      </c>
      <c r="C206" s="18">
        <v>560</v>
      </c>
    </row>
    <row r="207" spans="2:3">
      <c r="B207" s="2" t="s">
        <v>101</v>
      </c>
      <c r="C207" s="18">
        <v>1520</v>
      </c>
    </row>
    <row r="208" spans="2:3">
      <c r="B208" s="2" t="s">
        <v>62</v>
      </c>
      <c r="C208" s="18">
        <v>2160</v>
      </c>
    </row>
    <row r="209" spans="2:3">
      <c r="B209" s="2" t="s">
        <v>317</v>
      </c>
      <c r="C209" s="18">
        <v>6000</v>
      </c>
    </row>
    <row r="210" spans="2:3">
      <c r="B210" s="2" t="s">
        <v>78</v>
      </c>
      <c r="C210" s="18" t="s">
        <v>17</v>
      </c>
    </row>
    <row r="211" spans="2:3">
      <c r="B211" s="2" t="s">
        <v>320</v>
      </c>
      <c r="C211" s="18">
        <v>1280</v>
      </c>
    </row>
    <row r="212" spans="2:3">
      <c r="B212" s="2" t="s">
        <v>94</v>
      </c>
      <c r="C212" s="18">
        <v>680</v>
      </c>
    </row>
    <row r="213" spans="2:3">
      <c r="B213" s="2" t="s">
        <v>323</v>
      </c>
      <c r="C213" s="18">
        <v>1520</v>
      </c>
    </row>
    <row r="214" spans="2:3">
      <c r="B214" s="2" t="s">
        <v>124</v>
      </c>
      <c r="C214" s="18" t="s">
        <v>17</v>
      </c>
    </row>
    <row r="215" spans="2:3">
      <c r="B215" s="2" t="s">
        <v>81</v>
      </c>
      <c r="C215" s="18">
        <v>2400</v>
      </c>
    </row>
    <row r="216" spans="2:3">
      <c r="B216" s="2" t="s">
        <v>122</v>
      </c>
      <c r="C216" s="18">
        <v>5950</v>
      </c>
    </row>
    <row r="217" spans="2:3">
      <c r="B217" s="2" t="s">
        <v>233</v>
      </c>
      <c r="C217" s="18" t="s">
        <v>17</v>
      </c>
    </row>
    <row r="218" spans="2:3">
      <c r="B218" s="2" t="s">
        <v>81</v>
      </c>
      <c r="C218" s="18">
        <v>0</v>
      </c>
    </row>
    <row r="219" spans="2:3">
      <c r="B219" s="2" t="s">
        <v>81</v>
      </c>
      <c r="C219" s="18">
        <v>6000</v>
      </c>
    </row>
    <row r="220" spans="2:3">
      <c r="B220" s="2" t="s">
        <v>67</v>
      </c>
      <c r="C220" s="18" t="s">
        <v>17</v>
      </c>
    </row>
    <row r="221" spans="2:3">
      <c r="B221" s="2" t="s">
        <v>114</v>
      </c>
      <c r="C221" s="18" t="s">
        <v>17</v>
      </c>
    </row>
    <row r="222" spans="2:3">
      <c r="B222" s="2" t="s">
        <v>23</v>
      </c>
      <c r="C222" s="18" t="s">
        <v>17</v>
      </c>
    </row>
    <row r="223" spans="2:3">
      <c r="B223" s="2" t="s">
        <v>67</v>
      </c>
      <c r="C223" s="18" t="s">
        <v>17</v>
      </c>
    </row>
    <row r="224" spans="2:3">
      <c r="B224" s="2" t="s">
        <v>124</v>
      </c>
      <c r="C224" s="18">
        <v>0</v>
      </c>
    </row>
    <row r="225" spans="2:3">
      <c r="B225" s="2" t="s">
        <v>170</v>
      </c>
      <c r="C225" s="18">
        <v>1400</v>
      </c>
    </row>
    <row r="226" spans="2:3">
      <c r="B226" s="2" t="s">
        <v>151</v>
      </c>
      <c r="C226" s="18">
        <v>4037.5</v>
      </c>
    </row>
    <row r="227" spans="2:3">
      <c r="B227" s="2" t="s">
        <v>195</v>
      </c>
      <c r="C227" s="18" t="s">
        <v>17</v>
      </c>
    </row>
    <row r="228" spans="2:3">
      <c r="B228" s="2" t="s">
        <v>71</v>
      </c>
      <c r="C228" s="18" t="s">
        <v>17</v>
      </c>
    </row>
    <row r="229" spans="2:3">
      <c r="B229" s="2" t="s">
        <v>109</v>
      </c>
      <c r="C229" s="18">
        <v>475</v>
      </c>
    </row>
    <row r="230" spans="2:3">
      <c r="B230" s="2" t="s">
        <v>153</v>
      </c>
      <c r="C230" s="18">
        <v>1615</v>
      </c>
    </row>
    <row r="231" spans="2:3">
      <c r="B231" s="2" t="s">
        <v>51</v>
      </c>
      <c r="C231" s="18" t="s">
        <v>17</v>
      </c>
    </row>
    <row r="232" spans="2:3">
      <c r="B232" s="2" t="s">
        <v>114</v>
      </c>
      <c r="C232" s="18">
        <v>19000</v>
      </c>
    </row>
    <row r="233" spans="2:3">
      <c r="B233" s="2" t="s">
        <v>151</v>
      </c>
      <c r="C233" s="18">
        <v>7000</v>
      </c>
    </row>
    <row r="234" spans="2:3">
      <c r="B234" s="2" t="s">
        <v>323</v>
      </c>
      <c r="C234" s="18">
        <v>2880</v>
      </c>
    </row>
    <row r="235" spans="2:3">
      <c r="B235" s="2" t="s">
        <v>56</v>
      </c>
      <c r="C235" s="18">
        <v>2500</v>
      </c>
    </row>
    <row r="236" spans="2:3">
      <c r="B236" s="2" t="s">
        <v>239</v>
      </c>
      <c r="C236" s="18" t="s">
        <v>17</v>
      </c>
    </row>
    <row r="237" spans="2:3">
      <c r="B237" s="2" t="s">
        <v>320</v>
      </c>
      <c r="C237" s="18">
        <v>3240</v>
      </c>
    </row>
    <row r="238" spans="2:3">
      <c r="B238" s="2" t="s">
        <v>239</v>
      </c>
      <c r="C238" s="18">
        <v>2000</v>
      </c>
    </row>
    <row r="239" spans="2:3">
      <c r="B239" s="2" t="s">
        <v>90</v>
      </c>
      <c r="C239" s="18">
        <v>1900</v>
      </c>
    </row>
    <row r="240" spans="2:3">
      <c r="B240" s="2" t="s">
        <v>131</v>
      </c>
      <c r="C240" s="18">
        <v>640</v>
      </c>
    </row>
    <row r="241" spans="2:3">
      <c r="B241" s="2" t="s">
        <v>181</v>
      </c>
      <c r="C241" s="18" t="s">
        <v>17</v>
      </c>
    </row>
    <row r="242" spans="2:3">
      <c r="B242" s="2" t="s">
        <v>353</v>
      </c>
      <c r="C242" s="18">
        <v>3500</v>
      </c>
    </row>
    <row r="243" spans="2:3">
      <c r="B243" s="2" t="s">
        <v>181</v>
      </c>
      <c r="C243" s="18" t="s">
        <v>17</v>
      </c>
    </row>
    <row r="244" spans="2:3">
      <c r="B244" s="2" t="s">
        <v>30</v>
      </c>
      <c r="C244" s="18">
        <v>2805</v>
      </c>
    </row>
    <row r="245" spans="2:3">
      <c r="B245" s="2" t="s">
        <v>111</v>
      </c>
      <c r="C245" s="18">
        <v>7600</v>
      </c>
    </row>
    <row r="246" spans="2:3">
      <c r="B246" s="2" t="s">
        <v>40</v>
      </c>
      <c r="C246" s="18">
        <v>2000</v>
      </c>
    </row>
    <row r="247" spans="2:3">
      <c r="B247" s="2" t="s">
        <v>23</v>
      </c>
      <c r="C247" s="18">
        <v>-1575</v>
      </c>
    </row>
    <row r="248" spans="2:3">
      <c r="B248" s="2" t="s">
        <v>281</v>
      </c>
      <c r="C248" s="18" t="s">
        <v>17</v>
      </c>
    </row>
    <row r="249" spans="2:3">
      <c r="B249" s="2" t="s">
        <v>94</v>
      </c>
      <c r="C249" s="18">
        <v>5000</v>
      </c>
    </row>
    <row r="250" spans="2:3">
      <c r="B250" s="2" t="s">
        <v>90</v>
      </c>
      <c r="C250" s="18">
        <v>7875</v>
      </c>
    </row>
    <row r="251" spans="2:3">
      <c r="B251" s="2" t="s">
        <v>56</v>
      </c>
      <c r="C251" s="18">
        <v>0</v>
      </c>
    </row>
    <row r="252" spans="2:3">
      <c r="B252" s="2" t="s">
        <v>281</v>
      </c>
      <c r="C252" s="18">
        <v>18000</v>
      </c>
    </row>
    <row r="253" spans="2:3">
      <c r="B253" s="2" t="s">
        <v>140</v>
      </c>
      <c r="C253" s="18">
        <v>1785</v>
      </c>
    </row>
    <row r="254" spans="2:3">
      <c r="B254" s="2" t="s">
        <v>94</v>
      </c>
      <c r="C254" s="1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1FDD-D35C-440A-A702-46F90558D67F}">
  <dimension ref="A1:G254"/>
  <sheetViews>
    <sheetView topLeftCell="A3" workbookViewId="0">
      <selection activeCell="F17" sqref="F17"/>
    </sheetView>
  </sheetViews>
  <sheetFormatPr defaultRowHeight="15"/>
  <cols>
    <col min="2" max="4" width="22.28515625" customWidth="1"/>
    <col min="5" max="5" width="11.5703125" customWidth="1"/>
    <col min="6" max="6" width="11.7109375" bestFit="1" customWidth="1"/>
    <col min="7" max="7" width="15.7109375" bestFit="1" customWidth="1"/>
    <col min="9" max="9" width="11.7109375" bestFit="1" customWidth="1"/>
    <col min="10" max="10" width="15.7109375" customWidth="1"/>
  </cols>
  <sheetData>
    <row r="1" spans="1:7" s="31" customFormat="1" ht="57" customHeight="1">
      <c r="A1" s="30" t="s">
        <v>756</v>
      </c>
    </row>
    <row r="4" spans="1:7">
      <c r="B4" s="1" t="s">
        <v>1</v>
      </c>
      <c r="C4" s="1" t="s">
        <v>757</v>
      </c>
      <c r="D4" s="1" t="s">
        <v>12</v>
      </c>
      <c r="E4" s="34"/>
    </row>
    <row r="5" spans="1:7">
      <c r="B5" s="3">
        <v>44956</v>
      </c>
      <c r="C5" s="3" t="str">
        <f>TEXT(B5,"mmmm")</f>
        <v>January</v>
      </c>
      <c r="D5" s="35" t="str">
        <f>_xlfn.XLOOKUP(B5,Sales_Transactions!B$2:B$251,Sales_Transactions!M$2:M$251)</f>
        <v>N/A</v>
      </c>
      <c r="E5" s="32"/>
    </row>
    <row r="6" spans="1:7">
      <c r="B6" s="3">
        <v>45398</v>
      </c>
      <c r="C6" s="3" t="str">
        <f t="shared" ref="C6:C69" si="0">TEXT(B6,"mmmm")</f>
        <v>April</v>
      </c>
      <c r="D6" s="35">
        <f>_xlfn.XLOOKUP(B6,Sales_Transactions!B$2:B$251,Sales_Transactions!M$2:M$251)</f>
        <v>640</v>
      </c>
      <c r="E6" s="32"/>
      <c r="F6" s="12" t="s">
        <v>757</v>
      </c>
      <c r="G6" t="s">
        <v>753</v>
      </c>
    </row>
    <row r="7" spans="1:7">
      <c r="B7" s="3">
        <v>45141</v>
      </c>
      <c r="C7" s="3" t="str">
        <f t="shared" si="0"/>
        <v>August</v>
      </c>
      <c r="D7" s="35" t="str">
        <f>_xlfn.XLOOKUP(B7,Sales_Transactions!B$2:B$251,Sales_Transactions!M$2:M$251)</f>
        <v>N/A</v>
      </c>
      <c r="E7" s="33"/>
      <c r="F7" t="s">
        <v>758</v>
      </c>
      <c r="G7" s="13">
        <v>113167.5</v>
      </c>
    </row>
    <row r="8" spans="1:7">
      <c r="B8" s="3">
        <v>45543</v>
      </c>
      <c r="C8" s="3" t="str">
        <f t="shared" si="0"/>
        <v>September</v>
      </c>
      <c r="D8" s="35">
        <f>_xlfn.XLOOKUP(B8,Sales_Transactions!B$2:B$251,Sales_Transactions!M$2:M$251)</f>
        <v>0</v>
      </c>
      <c r="E8" s="32"/>
      <c r="F8" t="s">
        <v>759</v>
      </c>
      <c r="G8" s="13">
        <v>33535</v>
      </c>
    </row>
    <row r="9" spans="1:7">
      <c r="B9" s="3">
        <v>45062</v>
      </c>
      <c r="C9" s="3" t="str">
        <f t="shared" si="0"/>
        <v>May</v>
      </c>
      <c r="D9" s="35">
        <f>_xlfn.XLOOKUP(B9,Sales_Transactions!B$2:B$251,Sales_Transactions!M$2:M$251)</f>
        <v>2850</v>
      </c>
      <c r="E9" s="32"/>
      <c r="F9" t="s">
        <v>760</v>
      </c>
      <c r="G9" s="13">
        <v>40795</v>
      </c>
    </row>
    <row r="10" spans="1:7">
      <c r="B10" s="3">
        <v>45417</v>
      </c>
      <c r="C10" s="3" t="str">
        <f t="shared" si="0"/>
        <v>May</v>
      </c>
      <c r="D10" s="35">
        <f>_xlfn.XLOOKUP(B10,Sales_Transactions!B$2:B$251,Sales_Transactions!M$2:M$251)</f>
        <v>5225</v>
      </c>
      <c r="E10" s="32"/>
      <c r="F10" t="s">
        <v>761</v>
      </c>
      <c r="G10" s="13">
        <v>25260</v>
      </c>
    </row>
    <row r="11" spans="1:7">
      <c r="B11" s="3">
        <v>45303</v>
      </c>
      <c r="C11" s="3" t="str">
        <f t="shared" si="0"/>
        <v>January</v>
      </c>
      <c r="D11" s="35">
        <f>_xlfn.XLOOKUP(B11,Sales_Transactions!B$2:B$251,Sales_Transactions!M$2:M$251)</f>
        <v>5415</v>
      </c>
      <c r="E11" s="32"/>
      <c r="F11" t="s">
        <v>762</v>
      </c>
      <c r="G11" s="13">
        <v>40050</v>
      </c>
    </row>
    <row r="12" spans="1:7">
      <c r="B12" s="3">
        <v>45304</v>
      </c>
      <c r="C12" s="3" t="str">
        <f t="shared" si="0"/>
        <v>January</v>
      </c>
      <c r="D12" s="35" t="str">
        <f>_xlfn.XLOOKUP(B12,Sales_Transactions!B$2:B$251,Sales_Transactions!M$2:M$251)</f>
        <v>N/A</v>
      </c>
      <c r="E12" s="32"/>
      <c r="F12" t="s">
        <v>763</v>
      </c>
      <c r="G12" s="13">
        <v>25700</v>
      </c>
    </row>
    <row r="13" spans="1:7">
      <c r="B13" s="3">
        <v>45499</v>
      </c>
      <c r="C13" s="3" t="str">
        <f t="shared" si="0"/>
        <v>July</v>
      </c>
      <c r="D13" s="35">
        <f>_xlfn.XLOOKUP(B13,Sales_Transactions!B$2:B$251,Sales_Transactions!M$2:M$251)</f>
        <v>16150</v>
      </c>
      <c r="E13" s="32"/>
      <c r="F13" t="s">
        <v>764</v>
      </c>
      <c r="G13" s="13">
        <v>55005</v>
      </c>
    </row>
    <row r="14" spans="1:7">
      <c r="B14" s="3">
        <v>45392</v>
      </c>
      <c r="C14" s="3" t="str">
        <f t="shared" si="0"/>
        <v>April</v>
      </c>
      <c r="D14" s="35" t="str">
        <f>_xlfn.XLOOKUP(B14,Sales_Transactions!B$2:B$251,Sales_Transactions!M$2:M$251)</f>
        <v>N/A</v>
      </c>
      <c r="E14" s="32"/>
      <c r="F14" t="s">
        <v>765</v>
      </c>
      <c r="G14" s="13">
        <v>18882.5</v>
      </c>
    </row>
    <row r="15" spans="1:7">
      <c r="B15" s="3">
        <v>45483</v>
      </c>
      <c r="C15" s="3" t="str">
        <f t="shared" si="0"/>
        <v>July</v>
      </c>
      <c r="D15" s="35">
        <f>_xlfn.XLOOKUP(B15,Sales_Transactions!B$2:B$251,Sales_Transactions!M$2:M$251)</f>
        <v>4180</v>
      </c>
      <c r="E15" s="32"/>
      <c r="F15" t="s">
        <v>766</v>
      </c>
      <c r="G15" s="13">
        <v>89970</v>
      </c>
    </row>
    <row r="16" spans="1:7">
      <c r="B16" s="3">
        <v>45310</v>
      </c>
      <c r="C16" s="3" t="str">
        <f t="shared" si="0"/>
        <v>January</v>
      </c>
      <c r="D16" s="35">
        <f>_xlfn.XLOOKUP(B16,Sales_Transactions!B$2:B$251,Sales_Transactions!M$2:M$251)</f>
        <v>3420</v>
      </c>
      <c r="E16" s="32"/>
      <c r="F16" t="s">
        <v>767</v>
      </c>
      <c r="G16" s="13">
        <v>10450</v>
      </c>
    </row>
    <row r="17" spans="2:7">
      <c r="B17" s="3">
        <v>45479</v>
      </c>
      <c r="C17" s="3" t="str">
        <f t="shared" si="0"/>
        <v>July</v>
      </c>
      <c r="D17" s="35">
        <f>_xlfn.XLOOKUP(B17,Sales_Transactions!B$2:B$251,Sales_Transactions!M$2:M$251)</f>
        <v>1900</v>
      </c>
      <c r="E17" s="32"/>
      <c r="F17" t="s">
        <v>768</v>
      </c>
      <c r="G17" s="13">
        <v>29435</v>
      </c>
    </row>
    <row r="18" spans="2:7">
      <c r="B18" s="3">
        <v>45368</v>
      </c>
      <c r="C18" s="3" t="str">
        <f t="shared" si="0"/>
        <v>March</v>
      </c>
      <c r="D18" s="35" t="str">
        <f>_xlfn.XLOOKUP(B18,Sales_Transactions!B$2:B$251,Sales_Transactions!M$2:M$251)</f>
        <v>N/A</v>
      </c>
      <c r="E18" s="32"/>
      <c r="F18" t="s">
        <v>769</v>
      </c>
      <c r="G18" s="13">
        <v>39125</v>
      </c>
    </row>
    <row r="19" spans="2:7">
      <c r="B19" s="3">
        <v>45225</v>
      </c>
      <c r="C19" s="3" t="str">
        <f t="shared" si="0"/>
        <v>October</v>
      </c>
      <c r="D19" s="35">
        <f>_xlfn.XLOOKUP(B19,Sales_Transactions!B$2:B$251,Sales_Transactions!M$2:M$251)</f>
        <v>950</v>
      </c>
      <c r="E19" s="32"/>
      <c r="F19" t="s">
        <v>754</v>
      </c>
      <c r="G19" s="13">
        <v>521375</v>
      </c>
    </row>
    <row r="20" spans="2:7">
      <c r="B20" s="3">
        <v>45139</v>
      </c>
      <c r="C20" s="3" t="str">
        <f t="shared" si="0"/>
        <v>August</v>
      </c>
      <c r="D20" s="35">
        <f>_xlfn.XLOOKUP(B20,Sales_Transactions!B$2:B$251,Sales_Transactions!M$2:M$251)</f>
        <v>4512.5</v>
      </c>
      <c r="E20" s="32"/>
    </row>
    <row r="21" spans="2:7">
      <c r="B21" s="3">
        <v>45198</v>
      </c>
      <c r="C21" s="3" t="str">
        <f t="shared" si="0"/>
        <v>September</v>
      </c>
      <c r="D21" s="35" t="str">
        <f>_xlfn.XLOOKUP(B21,Sales_Transactions!B$2:B$251,Sales_Transactions!M$2:M$251)</f>
        <v>N/A</v>
      </c>
      <c r="E21" s="32"/>
    </row>
    <row r="22" spans="2:7">
      <c r="B22" s="3">
        <v>45556</v>
      </c>
      <c r="C22" s="3" t="str">
        <f t="shared" si="0"/>
        <v>September</v>
      </c>
      <c r="D22" s="35">
        <f>_xlfn.XLOOKUP(B22,Sales_Transactions!B$2:B$251,Sales_Transactions!M$2:M$251)</f>
        <v>3300</v>
      </c>
      <c r="E22" s="32"/>
    </row>
    <row r="23" spans="2:7">
      <c r="B23" s="3">
        <v>45134</v>
      </c>
      <c r="C23" s="3" t="str">
        <f t="shared" si="0"/>
        <v>July</v>
      </c>
      <c r="D23" s="35" t="str">
        <f>_xlfn.XLOOKUP(B23,Sales_Transactions!B$2:B$251,Sales_Transactions!M$2:M$251)</f>
        <v>N/A</v>
      </c>
      <c r="E23" s="32"/>
    </row>
    <row r="24" spans="2:7">
      <c r="B24" s="3">
        <v>45280</v>
      </c>
      <c r="C24" s="3" t="str">
        <f t="shared" si="0"/>
        <v>December</v>
      </c>
      <c r="D24" s="35" t="str">
        <f>_xlfn.XLOOKUP(B24,Sales_Transactions!B$2:B$251,Sales_Transactions!M$2:M$251)</f>
        <v>N/A</v>
      </c>
      <c r="E24" s="32"/>
    </row>
    <row r="25" spans="2:7">
      <c r="B25" s="3">
        <v>45279</v>
      </c>
      <c r="C25" s="3" t="str">
        <f t="shared" si="0"/>
        <v>December</v>
      </c>
      <c r="D25" s="35">
        <f>_xlfn.XLOOKUP(B25,Sales_Transactions!B$2:B$251,Sales_Transactions!M$2:M$251)</f>
        <v>-450</v>
      </c>
      <c r="E25" s="32"/>
    </row>
    <row r="26" spans="2:7">
      <c r="B26" s="3">
        <v>45474</v>
      </c>
      <c r="C26" s="3" t="str">
        <f t="shared" si="0"/>
        <v>July</v>
      </c>
      <c r="D26" s="35">
        <f>_xlfn.XLOOKUP(B26,Sales_Transactions!B$2:B$251,Sales_Transactions!M$2:M$251)</f>
        <v>0</v>
      </c>
      <c r="E26" s="32"/>
    </row>
    <row r="27" spans="2:7">
      <c r="B27" s="3">
        <v>45158</v>
      </c>
      <c r="C27" s="3" t="str">
        <f t="shared" si="0"/>
        <v>August</v>
      </c>
      <c r="D27" s="35">
        <f>_xlfn.XLOOKUP(B27,Sales_Transactions!B$2:B$251,Sales_Transactions!M$2:M$251)</f>
        <v>1900</v>
      </c>
      <c r="E27" s="32"/>
    </row>
    <row r="28" spans="2:7">
      <c r="B28" s="3">
        <v>44956</v>
      </c>
      <c r="C28" s="3" t="str">
        <f t="shared" si="0"/>
        <v>January</v>
      </c>
      <c r="D28" s="35" t="str">
        <f>_xlfn.XLOOKUP(B28,Sales_Transactions!B$2:B$251,Sales_Transactions!M$2:M$251)</f>
        <v>N/A</v>
      </c>
      <c r="E28" s="32"/>
    </row>
    <row r="29" spans="2:7">
      <c r="B29" s="3">
        <v>44936</v>
      </c>
      <c r="C29" s="3" t="str">
        <f t="shared" si="0"/>
        <v>January</v>
      </c>
      <c r="D29" s="35">
        <f>_xlfn.XLOOKUP(B29,Sales_Transactions!B$2:B$251,Sales_Transactions!M$2:M$251)</f>
        <v>3960</v>
      </c>
      <c r="E29" s="32"/>
    </row>
    <row r="30" spans="2:7">
      <c r="B30" s="3">
        <v>45451</v>
      </c>
      <c r="C30" s="3" t="str">
        <f t="shared" si="0"/>
        <v>June</v>
      </c>
      <c r="D30" s="35" t="str">
        <f>_xlfn.XLOOKUP(B30,Sales_Transactions!B$2:B$251,Sales_Transactions!M$2:M$251)</f>
        <v>N/A</v>
      </c>
      <c r="E30" s="32"/>
    </row>
    <row r="31" spans="2:7">
      <c r="B31" s="3">
        <v>45180</v>
      </c>
      <c r="C31" s="3" t="str">
        <f t="shared" si="0"/>
        <v>September</v>
      </c>
      <c r="D31" s="35" t="str">
        <f>_xlfn.XLOOKUP(B31,Sales_Transactions!B$2:B$251,Sales_Transactions!M$2:M$251)</f>
        <v>N/A</v>
      </c>
      <c r="E31" s="32"/>
    </row>
    <row r="32" spans="2:7">
      <c r="B32" s="3">
        <v>45277</v>
      </c>
      <c r="C32" s="3" t="str">
        <f t="shared" si="0"/>
        <v>December</v>
      </c>
      <c r="D32" s="35">
        <f>_xlfn.XLOOKUP(B32,Sales_Transactions!B$2:B$251,Sales_Transactions!M$2:M$251)</f>
        <v>1700</v>
      </c>
      <c r="E32" s="32"/>
    </row>
    <row r="33" spans="2:5">
      <c r="B33" s="3">
        <v>45088</v>
      </c>
      <c r="C33" s="3" t="str">
        <f t="shared" si="0"/>
        <v>June</v>
      </c>
      <c r="D33" s="35" t="str">
        <f>_xlfn.XLOOKUP(B33,Sales_Transactions!B$2:B$251,Sales_Transactions!M$2:M$251)</f>
        <v>N/A</v>
      </c>
      <c r="E33" s="32"/>
    </row>
    <row r="34" spans="2:5">
      <c r="B34" s="3">
        <v>45084</v>
      </c>
      <c r="C34" s="3" t="str">
        <f t="shared" si="0"/>
        <v>June</v>
      </c>
      <c r="D34" s="35">
        <f>_xlfn.XLOOKUP(B34,Sales_Transactions!B$2:B$251,Sales_Transactions!M$2:M$251)</f>
        <v>2800</v>
      </c>
      <c r="E34" s="32"/>
    </row>
    <row r="35" spans="2:5">
      <c r="B35" s="3">
        <v>45130</v>
      </c>
      <c r="C35" s="3" t="str">
        <f t="shared" si="0"/>
        <v>July</v>
      </c>
      <c r="D35" s="35" t="str">
        <f>_xlfn.XLOOKUP(B35,Sales_Transactions!B$2:B$251,Sales_Transactions!M$2:M$251)</f>
        <v>N/A</v>
      </c>
      <c r="E35" s="32"/>
    </row>
    <row r="36" spans="2:5">
      <c r="B36" s="3">
        <v>45452</v>
      </c>
      <c r="C36" s="3" t="str">
        <f t="shared" si="0"/>
        <v>June</v>
      </c>
      <c r="D36" s="35" t="str">
        <f>_xlfn.XLOOKUP(B36,Sales_Transactions!B$2:B$251,Sales_Transactions!M$2:M$251)</f>
        <v>N/A</v>
      </c>
      <c r="E36" s="32"/>
    </row>
    <row r="37" spans="2:5">
      <c r="B37" s="3">
        <v>45277</v>
      </c>
      <c r="C37" s="3" t="str">
        <f t="shared" si="0"/>
        <v>December</v>
      </c>
      <c r="D37" s="35">
        <f>_xlfn.XLOOKUP(B37,Sales_Transactions!B$2:B$251,Sales_Transactions!M$2:M$251)</f>
        <v>1700</v>
      </c>
      <c r="E37" s="32"/>
    </row>
    <row r="38" spans="2:5">
      <c r="B38" s="3">
        <v>45475</v>
      </c>
      <c r="C38" s="3" t="str">
        <f t="shared" si="0"/>
        <v>July</v>
      </c>
      <c r="D38" s="35">
        <f>_xlfn.XLOOKUP(B38,Sales_Transactions!B$2:B$251,Sales_Transactions!M$2:M$251)</f>
        <v>3200</v>
      </c>
      <c r="E38" s="32"/>
    </row>
    <row r="39" spans="2:5">
      <c r="B39" s="3">
        <v>45070</v>
      </c>
      <c r="C39" s="3" t="str">
        <f t="shared" si="0"/>
        <v>May</v>
      </c>
      <c r="D39" s="35">
        <f>_xlfn.XLOOKUP(B39,Sales_Transactions!B$2:B$251,Sales_Transactions!M$2:M$251)</f>
        <v>4000</v>
      </c>
      <c r="E39" s="32"/>
    </row>
    <row r="40" spans="2:5">
      <c r="B40" s="3">
        <v>45448</v>
      </c>
      <c r="C40" s="3" t="str">
        <f t="shared" si="0"/>
        <v>June</v>
      </c>
      <c r="D40" s="35" t="str">
        <f>_xlfn.XLOOKUP(B40,Sales_Transactions!B$2:B$251,Sales_Transactions!M$2:M$251)</f>
        <v>N/A</v>
      </c>
      <c r="E40" s="32"/>
    </row>
    <row r="41" spans="2:5">
      <c r="B41" s="3">
        <v>45208</v>
      </c>
      <c r="C41" s="3" t="str">
        <f t="shared" si="0"/>
        <v>October</v>
      </c>
      <c r="D41" s="35" t="str">
        <f>_xlfn.XLOOKUP(B41,Sales_Transactions!B$2:B$251,Sales_Transactions!M$2:M$251)</f>
        <v>N/A</v>
      </c>
      <c r="E41" s="32"/>
    </row>
    <row r="42" spans="2:5">
      <c r="B42" s="3">
        <v>45518</v>
      </c>
      <c r="C42" s="3" t="str">
        <f t="shared" si="0"/>
        <v>August</v>
      </c>
      <c r="D42" s="35">
        <f>_xlfn.XLOOKUP(B42,Sales_Transactions!B$2:B$251,Sales_Transactions!M$2:M$251)</f>
        <v>-990</v>
      </c>
      <c r="E42" s="32"/>
    </row>
    <row r="43" spans="2:5">
      <c r="B43" s="3">
        <v>45238</v>
      </c>
      <c r="C43" s="3" t="str">
        <f t="shared" si="0"/>
        <v>November</v>
      </c>
      <c r="D43" s="35" t="str">
        <f>_xlfn.XLOOKUP(B43,Sales_Transactions!B$2:B$251,Sales_Transactions!M$2:M$251)</f>
        <v>N/A</v>
      </c>
      <c r="E43" s="32"/>
    </row>
    <row r="44" spans="2:5">
      <c r="B44" s="3">
        <v>45336</v>
      </c>
      <c r="C44" s="3" t="str">
        <f t="shared" si="0"/>
        <v>February</v>
      </c>
      <c r="D44" s="35" t="str">
        <f>_xlfn.XLOOKUP(B44,Sales_Transactions!B$2:B$251,Sales_Transactions!M$2:M$251)</f>
        <v>N/A</v>
      </c>
      <c r="E44" s="32"/>
    </row>
    <row r="45" spans="2:5">
      <c r="B45" s="3">
        <v>45538</v>
      </c>
      <c r="C45" s="3" t="str">
        <f t="shared" si="0"/>
        <v>September</v>
      </c>
      <c r="D45" s="35" t="str">
        <f>_xlfn.XLOOKUP(B45,Sales_Transactions!B$2:B$251,Sales_Transactions!M$2:M$251)</f>
        <v>N/A</v>
      </c>
      <c r="E45" s="32"/>
    </row>
    <row r="46" spans="2:5">
      <c r="B46" s="3">
        <v>44943</v>
      </c>
      <c r="C46" s="3" t="str">
        <f t="shared" si="0"/>
        <v>January</v>
      </c>
      <c r="D46" s="35" t="str">
        <f>_xlfn.XLOOKUP(B46,Sales_Transactions!B$2:B$251,Sales_Transactions!M$2:M$251)</f>
        <v>N/A</v>
      </c>
      <c r="E46" s="32"/>
    </row>
    <row r="47" spans="2:5">
      <c r="B47" s="3">
        <v>45038</v>
      </c>
      <c r="C47" s="3" t="str">
        <f t="shared" si="0"/>
        <v>April</v>
      </c>
      <c r="D47" s="35">
        <f>_xlfn.XLOOKUP(B47,Sales_Transactions!B$2:B$251,Sales_Transactions!M$2:M$251)</f>
        <v>4000</v>
      </c>
      <c r="E47" s="32"/>
    </row>
    <row r="48" spans="2:5">
      <c r="B48" s="3">
        <v>45460</v>
      </c>
      <c r="C48" s="3" t="str">
        <f t="shared" si="0"/>
        <v>June</v>
      </c>
      <c r="D48" s="35" t="str">
        <f>_xlfn.XLOOKUP(B48,Sales_Transactions!B$2:B$251,Sales_Transactions!M$2:M$251)</f>
        <v>N/A</v>
      </c>
      <c r="E48" s="32"/>
    </row>
    <row r="49" spans="2:5">
      <c r="B49" s="3">
        <v>44997</v>
      </c>
      <c r="C49" s="3" t="str">
        <f t="shared" si="0"/>
        <v>March</v>
      </c>
      <c r="D49" s="35">
        <f>_xlfn.XLOOKUP(B49,Sales_Transactions!B$2:B$251,Sales_Transactions!M$2:M$251)</f>
        <v>0</v>
      </c>
      <c r="E49" s="32"/>
    </row>
    <row r="50" spans="2:5">
      <c r="B50" s="3">
        <v>45345</v>
      </c>
      <c r="C50" s="3" t="str">
        <f t="shared" si="0"/>
        <v>February</v>
      </c>
      <c r="D50" s="35" t="str">
        <f>_xlfn.XLOOKUP(B50,Sales_Transactions!B$2:B$251,Sales_Transactions!M$2:M$251)</f>
        <v>N/A</v>
      </c>
      <c r="E50" s="32"/>
    </row>
    <row r="51" spans="2:5">
      <c r="B51" s="3">
        <v>45356</v>
      </c>
      <c r="C51" s="3" t="str">
        <f t="shared" si="0"/>
        <v>March</v>
      </c>
      <c r="D51" s="35">
        <f>_xlfn.XLOOKUP(B51,Sales_Transactions!B$2:B$251,Sales_Transactions!M$2:M$251)</f>
        <v>4080</v>
      </c>
      <c r="E51" s="32"/>
    </row>
    <row r="52" spans="2:5">
      <c r="B52" s="3">
        <v>45559</v>
      </c>
      <c r="C52" s="3" t="str">
        <f t="shared" si="0"/>
        <v>September</v>
      </c>
      <c r="D52" s="35">
        <f>_xlfn.XLOOKUP(B52,Sales_Transactions!B$2:B$251,Sales_Transactions!M$2:M$251)</f>
        <v>2280</v>
      </c>
      <c r="E52" s="32"/>
    </row>
    <row r="53" spans="2:5">
      <c r="B53" s="3">
        <v>45098</v>
      </c>
      <c r="C53" s="3" t="str">
        <f t="shared" si="0"/>
        <v>June</v>
      </c>
      <c r="D53" s="35" t="str">
        <f>_xlfn.XLOOKUP(B53,Sales_Transactions!B$2:B$251,Sales_Transactions!M$2:M$251)</f>
        <v>N/A</v>
      </c>
      <c r="E53" s="32"/>
    </row>
    <row r="54" spans="2:5">
      <c r="B54" s="3">
        <v>45050</v>
      </c>
      <c r="C54" s="3" t="str">
        <f t="shared" si="0"/>
        <v>May</v>
      </c>
      <c r="D54" s="35" t="str">
        <f>_xlfn.XLOOKUP(B54,Sales_Transactions!B$2:B$251,Sales_Transactions!M$2:M$251)</f>
        <v>N/A</v>
      </c>
      <c r="E54" s="32"/>
    </row>
    <row r="55" spans="2:5">
      <c r="B55" s="3">
        <v>45539</v>
      </c>
      <c r="C55" s="3" t="str">
        <f t="shared" si="0"/>
        <v>September</v>
      </c>
      <c r="D55" s="35">
        <f>_xlfn.XLOOKUP(B55,Sales_Transactions!B$2:B$251,Sales_Transactions!M$2:M$251)</f>
        <v>4000</v>
      </c>
      <c r="E55" s="32"/>
    </row>
    <row r="56" spans="2:5">
      <c r="B56" s="3">
        <v>45095</v>
      </c>
      <c r="C56" s="3" t="str">
        <f t="shared" si="0"/>
        <v>June</v>
      </c>
      <c r="D56" s="35">
        <f>_xlfn.XLOOKUP(B56,Sales_Transactions!B$2:B$251,Sales_Transactions!M$2:M$251)</f>
        <v>5100</v>
      </c>
      <c r="E56" s="32"/>
    </row>
    <row r="57" spans="2:5">
      <c r="B57" s="3">
        <v>45227</v>
      </c>
      <c r="C57" s="3" t="str">
        <f t="shared" si="0"/>
        <v>October</v>
      </c>
      <c r="D57" s="35">
        <f>_xlfn.XLOOKUP(B57,Sales_Transactions!B$2:B$251,Sales_Transactions!M$2:M$251)</f>
        <v>1870</v>
      </c>
      <c r="E57" s="32"/>
    </row>
    <row r="58" spans="2:5">
      <c r="B58" s="3">
        <v>45490</v>
      </c>
      <c r="C58" s="3" t="str">
        <f t="shared" si="0"/>
        <v>July</v>
      </c>
      <c r="D58" s="35" t="str">
        <f>_xlfn.XLOOKUP(B58,Sales_Transactions!B$2:B$251,Sales_Transactions!M$2:M$251)</f>
        <v>N/A</v>
      </c>
      <c r="E58" s="32"/>
    </row>
    <row r="59" spans="2:5">
      <c r="B59" s="3">
        <v>45181</v>
      </c>
      <c r="C59" s="3" t="str">
        <f t="shared" si="0"/>
        <v>September</v>
      </c>
      <c r="D59" s="35">
        <f>_xlfn.XLOOKUP(B59,Sales_Transactions!B$2:B$251,Sales_Transactions!M$2:M$251)</f>
        <v>3840</v>
      </c>
      <c r="E59" s="32"/>
    </row>
    <row r="60" spans="2:5">
      <c r="B60" s="3">
        <v>45324</v>
      </c>
      <c r="C60" s="3" t="str">
        <f t="shared" si="0"/>
        <v>February</v>
      </c>
      <c r="D60" s="35" t="str">
        <f>_xlfn.XLOOKUP(B60,Sales_Transactions!B$2:B$251,Sales_Transactions!M$2:M$251)</f>
        <v>N/A</v>
      </c>
      <c r="E60" s="32"/>
    </row>
    <row r="61" spans="2:5">
      <c r="B61" s="3">
        <v>44947</v>
      </c>
      <c r="C61" s="3" t="str">
        <f t="shared" si="0"/>
        <v>January</v>
      </c>
      <c r="D61" s="35">
        <f>_xlfn.XLOOKUP(B61,Sales_Transactions!B$2:B$251,Sales_Transactions!M$2:M$251)</f>
        <v>4800</v>
      </c>
      <c r="E61" s="32"/>
    </row>
    <row r="62" spans="2:5">
      <c r="B62" s="3">
        <v>45054</v>
      </c>
      <c r="C62" s="3" t="str">
        <f t="shared" si="0"/>
        <v>May</v>
      </c>
      <c r="D62" s="35" t="str">
        <f>_xlfn.XLOOKUP(B62,Sales_Transactions!B$2:B$251,Sales_Transactions!M$2:M$251)</f>
        <v>N/A</v>
      </c>
      <c r="E62" s="32"/>
    </row>
    <row r="63" spans="2:5">
      <c r="B63" s="3">
        <v>44981</v>
      </c>
      <c r="C63" s="3" t="str">
        <f t="shared" si="0"/>
        <v>February</v>
      </c>
      <c r="D63" s="35" t="str">
        <f>_xlfn.XLOOKUP(B63,Sales_Transactions!B$2:B$251,Sales_Transactions!M$2:M$251)</f>
        <v>N/A</v>
      </c>
      <c r="E63" s="32"/>
    </row>
    <row r="64" spans="2:5">
      <c r="B64" s="3">
        <v>45132</v>
      </c>
      <c r="C64" s="3" t="str">
        <f t="shared" si="0"/>
        <v>July</v>
      </c>
      <c r="D64" s="35">
        <f>_xlfn.XLOOKUP(B64,Sales_Transactions!B$2:B$251,Sales_Transactions!M$2:M$251)</f>
        <v>6840</v>
      </c>
      <c r="E64" s="32"/>
    </row>
    <row r="65" spans="2:5">
      <c r="B65" s="3">
        <v>44993</v>
      </c>
      <c r="C65" s="3" t="str">
        <f t="shared" si="0"/>
        <v>March</v>
      </c>
      <c r="D65" s="35">
        <f>_xlfn.XLOOKUP(B65,Sales_Transactions!B$2:B$251,Sales_Transactions!M$2:M$251)</f>
        <v>4800</v>
      </c>
      <c r="E65" s="32"/>
    </row>
    <row r="66" spans="2:5">
      <c r="B66" s="3">
        <v>45423</v>
      </c>
      <c r="C66" s="3" t="str">
        <f t="shared" si="0"/>
        <v>May</v>
      </c>
      <c r="D66" s="35">
        <f>_xlfn.XLOOKUP(B66,Sales_Transactions!B$2:B$251,Sales_Transactions!M$2:M$251)</f>
        <v>1575</v>
      </c>
      <c r="E66" s="32"/>
    </row>
    <row r="67" spans="2:5">
      <c r="B67" s="3">
        <v>44929</v>
      </c>
      <c r="C67" s="3" t="str">
        <f t="shared" si="0"/>
        <v>January</v>
      </c>
      <c r="D67" s="35">
        <f>_xlfn.XLOOKUP(B67,Sales_Transactions!B$2:B$251,Sales_Transactions!M$2:M$251)</f>
        <v>6600</v>
      </c>
      <c r="E67" s="32"/>
    </row>
    <row r="68" spans="2:5">
      <c r="B68" s="3">
        <v>45564</v>
      </c>
      <c r="C68" s="3" t="str">
        <f t="shared" si="0"/>
        <v>September</v>
      </c>
      <c r="D68" s="35" t="str">
        <f>_xlfn.XLOOKUP(B68,Sales_Transactions!B$2:B$251,Sales_Transactions!M$2:M$251)</f>
        <v>N/A</v>
      </c>
      <c r="E68" s="32"/>
    </row>
    <row r="69" spans="2:5">
      <c r="B69" s="3">
        <v>45561</v>
      </c>
      <c r="C69" s="3" t="str">
        <f t="shared" si="0"/>
        <v>September</v>
      </c>
      <c r="D69" s="35">
        <f>_xlfn.XLOOKUP(B69,Sales_Transactions!B$2:B$251,Sales_Transactions!M$2:M$251)</f>
        <v>850</v>
      </c>
      <c r="E69" s="32"/>
    </row>
    <row r="70" spans="2:5">
      <c r="B70" s="3">
        <v>45067</v>
      </c>
      <c r="C70" s="3" t="str">
        <f t="shared" ref="C70:C133" si="1">TEXT(B70,"mmmm")</f>
        <v>May</v>
      </c>
      <c r="D70" s="35" t="str">
        <f>_xlfn.XLOOKUP(B70,Sales_Transactions!B$2:B$251,Sales_Transactions!M$2:M$251)</f>
        <v>N/A</v>
      </c>
      <c r="E70" s="32"/>
    </row>
    <row r="71" spans="2:5">
      <c r="B71" s="3">
        <v>45391</v>
      </c>
      <c r="C71" s="3" t="str">
        <f t="shared" si="1"/>
        <v>April</v>
      </c>
      <c r="D71" s="35">
        <f>_xlfn.XLOOKUP(B71,Sales_Transactions!B$2:B$251,Sales_Transactions!M$2:M$251)</f>
        <v>4725</v>
      </c>
      <c r="E71" s="32"/>
    </row>
    <row r="72" spans="2:5">
      <c r="B72" s="3">
        <v>45527</v>
      </c>
      <c r="C72" s="3" t="str">
        <f t="shared" si="1"/>
        <v>August</v>
      </c>
      <c r="D72" s="35" t="str">
        <f>_xlfn.XLOOKUP(B72,Sales_Transactions!B$2:B$251,Sales_Transactions!M$2:M$251)</f>
        <v>N/A</v>
      </c>
      <c r="E72" s="32"/>
    </row>
    <row r="73" spans="2:5">
      <c r="B73" s="3">
        <v>45064</v>
      </c>
      <c r="C73" s="3" t="str">
        <f t="shared" si="1"/>
        <v>May</v>
      </c>
      <c r="D73" s="35">
        <f>_xlfn.XLOOKUP(B73,Sales_Transactions!B$2:B$251,Sales_Transactions!M$2:M$251)</f>
        <v>1785</v>
      </c>
      <c r="E73" s="32"/>
    </row>
    <row r="74" spans="2:5">
      <c r="B74" s="3">
        <v>45062</v>
      </c>
      <c r="C74" s="3" t="str">
        <f t="shared" si="1"/>
        <v>May</v>
      </c>
      <c r="D74" s="35">
        <f>_xlfn.XLOOKUP(B74,Sales_Transactions!B$2:B$251,Sales_Transactions!M$2:M$251)</f>
        <v>2850</v>
      </c>
      <c r="E74" s="32"/>
    </row>
    <row r="75" spans="2:5">
      <c r="B75" s="3">
        <v>45019</v>
      </c>
      <c r="C75" s="3" t="str">
        <f t="shared" si="1"/>
        <v>April</v>
      </c>
      <c r="D75" s="35" t="str">
        <f>_xlfn.XLOOKUP(B75,Sales_Transactions!B$2:B$251,Sales_Transactions!M$2:M$251)</f>
        <v>N/A</v>
      </c>
      <c r="E75" s="32"/>
    </row>
    <row r="76" spans="2:5">
      <c r="B76" s="3">
        <v>45274</v>
      </c>
      <c r="C76" s="3" t="str">
        <f t="shared" si="1"/>
        <v>December</v>
      </c>
      <c r="D76" s="35">
        <f>_xlfn.XLOOKUP(B76,Sales_Transactions!B$2:B$251,Sales_Transactions!M$2:M$251)</f>
        <v>2975</v>
      </c>
      <c r="E76" s="32"/>
    </row>
    <row r="77" spans="2:5">
      <c r="B77" s="3">
        <v>45366</v>
      </c>
      <c r="C77" s="3" t="str">
        <f t="shared" si="1"/>
        <v>March</v>
      </c>
      <c r="D77" s="35">
        <f>_xlfn.XLOOKUP(B77,Sales_Transactions!B$2:B$251,Sales_Transactions!M$2:M$251)</f>
        <v>2975</v>
      </c>
      <c r="E77" s="32"/>
    </row>
    <row r="78" spans="2:5">
      <c r="B78" s="3">
        <v>45427</v>
      </c>
      <c r="C78" s="3" t="str">
        <f t="shared" si="1"/>
        <v>May</v>
      </c>
      <c r="D78" s="35" t="str">
        <f>_xlfn.XLOOKUP(B78,Sales_Transactions!B$2:B$251,Sales_Transactions!M$2:M$251)</f>
        <v>N/A</v>
      </c>
      <c r="E78" s="32"/>
    </row>
    <row r="79" spans="2:5">
      <c r="B79" s="3">
        <v>45493</v>
      </c>
      <c r="C79" s="3" t="str">
        <f t="shared" si="1"/>
        <v>July</v>
      </c>
      <c r="D79" s="35">
        <f>_xlfn.XLOOKUP(B79,Sales_Transactions!B$2:B$251,Sales_Transactions!M$2:M$251)</f>
        <v>1800</v>
      </c>
      <c r="E79" s="32"/>
    </row>
    <row r="80" spans="2:5">
      <c r="B80" s="3">
        <v>45480</v>
      </c>
      <c r="C80" s="3" t="str">
        <f t="shared" si="1"/>
        <v>July</v>
      </c>
      <c r="D80" s="35">
        <f>_xlfn.XLOOKUP(B80,Sales_Transactions!B$2:B$251,Sales_Transactions!M$2:M$251)</f>
        <v>2640</v>
      </c>
      <c r="E80" s="32"/>
    </row>
    <row r="81" spans="2:5">
      <c r="B81" s="3">
        <v>44974</v>
      </c>
      <c r="C81" s="3" t="str">
        <f t="shared" si="1"/>
        <v>February</v>
      </c>
      <c r="D81" s="35" t="str">
        <f>_xlfn.XLOOKUP(B81,Sales_Transactions!B$2:B$251,Sales_Transactions!M$2:M$251)</f>
        <v>N/A</v>
      </c>
      <c r="E81" s="32"/>
    </row>
    <row r="82" spans="2:5">
      <c r="B82" s="3">
        <v>44962</v>
      </c>
      <c r="C82" s="3" t="str">
        <f t="shared" si="1"/>
        <v>February</v>
      </c>
      <c r="D82" s="35" t="str">
        <f>_xlfn.XLOOKUP(B82,Sales_Transactions!B$2:B$251,Sales_Transactions!M$2:M$251)</f>
        <v>N/A</v>
      </c>
      <c r="E82" s="32"/>
    </row>
    <row r="83" spans="2:5">
      <c r="B83" s="3">
        <v>45512</v>
      </c>
      <c r="C83" s="3" t="str">
        <f t="shared" si="1"/>
        <v>August</v>
      </c>
      <c r="D83" s="35">
        <f>_xlfn.XLOOKUP(B83,Sales_Transactions!B$2:B$251,Sales_Transactions!M$2:M$251)</f>
        <v>4080</v>
      </c>
      <c r="E83" s="32"/>
    </row>
    <row r="84" spans="2:5">
      <c r="B84" s="3">
        <v>45031</v>
      </c>
      <c r="C84" s="3" t="str">
        <f t="shared" si="1"/>
        <v>April</v>
      </c>
      <c r="D84" s="35" t="str">
        <f>_xlfn.XLOOKUP(B84,Sales_Transactions!B$2:B$251,Sales_Transactions!M$2:M$251)</f>
        <v>N/A</v>
      </c>
      <c r="E84" s="32"/>
    </row>
    <row r="85" spans="2:5">
      <c r="B85" s="3">
        <v>45067</v>
      </c>
      <c r="C85" s="3" t="str">
        <f t="shared" si="1"/>
        <v>May</v>
      </c>
      <c r="D85" s="35" t="str">
        <f>_xlfn.XLOOKUP(B85,Sales_Transactions!B$2:B$251,Sales_Transactions!M$2:M$251)</f>
        <v>N/A</v>
      </c>
      <c r="E85" s="32"/>
    </row>
    <row r="86" spans="2:5">
      <c r="B86" s="3">
        <v>45552</v>
      </c>
      <c r="C86" s="3" t="str">
        <f t="shared" si="1"/>
        <v>September</v>
      </c>
      <c r="D86" s="35">
        <f>_xlfn.XLOOKUP(B86,Sales_Transactions!B$2:B$251,Sales_Transactions!M$2:M$251)</f>
        <v>8800</v>
      </c>
      <c r="E86" s="32"/>
    </row>
    <row r="87" spans="2:5">
      <c r="B87" s="3">
        <v>45474</v>
      </c>
      <c r="C87" s="3" t="str">
        <f t="shared" si="1"/>
        <v>July</v>
      </c>
      <c r="D87" s="35">
        <f>_xlfn.XLOOKUP(B87,Sales_Transactions!B$2:B$251,Sales_Transactions!M$2:M$251)</f>
        <v>0</v>
      </c>
      <c r="E87" s="32"/>
    </row>
    <row r="88" spans="2:5">
      <c r="B88" s="3">
        <v>45054</v>
      </c>
      <c r="C88" s="3" t="str">
        <f t="shared" si="1"/>
        <v>May</v>
      </c>
      <c r="D88" s="35" t="str">
        <f>_xlfn.XLOOKUP(B88,Sales_Transactions!B$2:B$251,Sales_Transactions!M$2:M$251)</f>
        <v>N/A</v>
      </c>
      <c r="E88" s="32"/>
    </row>
    <row r="89" spans="2:5">
      <c r="B89" s="3">
        <v>45379</v>
      </c>
      <c r="C89" s="3" t="str">
        <f t="shared" si="1"/>
        <v>March</v>
      </c>
      <c r="D89" s="35">
        <f>_xlfn.XLOOKUP(B89,Sales_Transactions!B$2:B$251,Sales_Transactions!M$2:M$251)</f>
        <v>6800</v>
      </c>
      <c r="E89" s="32"/>
    </row>
    <row r="90" spans="2:5">
      <c r="B90" s="3">
        <v>45428</v>
      </c>
      <c r="C90" s="3" t="str">
        <f t="shared" si="1"/>
        <v>May</v>
      </c>
      <c r="D90" s="35" t="str">
        <f>_xlfn.XLOOKUP(B90,Sales_Transactions!B$2:B$251,Sales_Transactions!M$2:M$251)</f>
        <v>N/A</v>
      </c>
      <c r="E90" s="32"/>
    </row>
    <row r="91" spans="2:5">
      <c r="B91" s="3">
        <v>45293</v>
      </c>
      <c r="C91" s="3" t="str">
        <f t="shared" si="1"/>
        <v>January</v>
      </c>
      <c r="D91" s="35" t="str">
        <f>_xlfn.XLOOKUP(B91,Sales_Transactions!B$2:B$251,Sales_Transactions!M$2:M$251)</f>
        <v>N/A</v>
      </c>
      <c r="E91" s="32"/>
    </row>
    <row r="92" spans="2:5">
      <c r="B92" s="3">
        <v>45503</v>
      </c>
      <c r="C92" s="3" t="str">
        <f t="shared" si="1"/>
        <v>July</v>
      </c>
      <c r="D92" s="35" t="str">
        <f>_xlfn.XLOOKUP(B92,Sales_Transactions!B$2:B$251,Sales_Transactions!M$2:M$251)</f>
        <v>N/A</v>
      </c>
      <c r="E92" s="32"/>
    </row>
    <row r="93" spans="2:5">
      <c r="B93" s="3">
        <v>45463</v>
      </c>
      <c r="C93" s="3" t="str">
        <f t="shared" si="1"/>
        <v>June</v>
      </c>
      <c r="D93" s="35">
        <f>_xlfn.XLOOKUP(B93,Sales_Transactions!B$2:B$251,Sales_Transactions!M$2:M$251)</f>
        <v>4987.5</v>
      </c>
      <c r="E93" s="32"/>
    </row>
    <row r="94" spans="2:5">
      <c r="B94" s="3">
        <v>45206</v>
      </c>
      <c r="C94" s="3" t="str">
        <f t="shared" si="1"/>
        <v>October</v>
      </c>
      <c r="D94" s="35" t="str">
        <f>_xlfn.XLOOKUP(B94,Sales_Transactions!B$2:B$251,Sales_Transactions!M$2:M$251)</f>
        <v>N/A</v>
      </c>
      <c r="E94" s="32"/>
    </row>
    <row r="95" spans="2:5">
      <c r="B95" s="3">
        <v>45441</v>
      </c>
      <c r="C95" s="3" t="str">
        <f t="shared" si="1"/>
        <v>May</v>
      </c>
      <c r="D95" s="35">
        <f>_xlfn.XLOOKUP(B95,Sales_Transactions!B$2:B$251,Sales_Transactions!M$2:M$251)</f>
        <v>1615</v>
      </c>
      <c r="E95" s="32"/>
    </row>
    <row r="96" spans="2:5">
      <c r="B96" s="3">
        <v>45487</v>
      </c>
      <c r="C96" s="3" t="str">
        <f t="shared" si="1"/>
        <v>July</v>
      </c>
      <c r="D96" s="35" t="str">
        <f>_xlfn.XLOOKUP(B96,Sales_Transactions!B$2:B$251,Sales_Transactions!M$2:M$251)</f>
        <v>N/A</v>
      </c>
      <c r="E96" s="32"/>
    </row>
    <row r="97" spans="2:5">
      <c r="B97" s="3">
        <v>45173</v>
      </c>
      <c r="C97" s="3" t="str">
        <f t="shared" si="1"/>
        <v>September</v>
      </c>
      <c r="D97" s="35">
        <f>_xlfn.XLOOKUP(B97,Sales_Transactions!B$2:B$251,Sales_Transactions!M$2:M$251)</f>
        <v>1890</v>
      </c>
      <c r="E97" s="32"/>
    </row>
    <row r="98" spans="2:5">
      <c r="B98" s="3">
        <v>45543</v>
      </c>
      <c r="C98" s="3" t="str">
        <f t="shared" si="1"/>
        <v>September</v>
      </c>
      <c r="D98" s="35">
        <f>_xlfn.XLOOKUP(B98,Sales_Transactions!B$2:B$251,Sales_Transactions!M$2:M$251)</f>
        <v>0</v>
      </c>
      <c r="E98" s="32"/>
    </row>
    <row r="99" spans="2:5">
      <c r="B99" s="3">
        <v>45521</v>
      </c>
      <c r="C99" s="3" t="str">
        <f t="shared" si="1"/>
        <v>August</v>
      </c>
      <c r="D99" s="35" t="str">
        <f>_xlfn.XLOOKUP(B99,Sales_Transactions!B$2:B$251,Sales_Transactions!M$2:M$251)</f>
        <v>N/A</v>
      </c>
      <c r="E99" s="32"/>
    </row>
    <row r="100" spans="2:5">
      <c r="B100" s="3">
        <v>45245</v>
      </c>
      <c r="C100" s="3" t="str">
        <f t="shared" si="1"/>
        <v>November</v>
      </c>
      <c r="D100" s="35" t="str">
        <f>_xlfn.XLOOKUP(B100,Sales_Transactions!B$2:B$251,Sales_Transactions!M$2:M$251)</f>
        <v>N/A</v>
      </c>
      <c r="E100" s="32"/>
    </row>
    <row r="101" spans="2:5">
      <c r="B101" s="3">
        <v>45243</v>
      </c>
      <c r="C101" s="3" t="str">
        <f t="shared" si="1"/>
        <v>November</v>
      </c>
      <c r="D101" s="35">
        <f>_xlfn.XLOOKUP(B101,Sales_Transactions!B$2:B$251,Sales_Transactions!M$2:M$251)</f>
        <v>22000</v>
      </c>
      <c r="E101" s="32"/>
    </row>
    <row r="102" spans="2:5">
      <c r="B102" s="3">
        <v>45166</v>
      </c>
      <c r="C102" s="3" t="str">
        <f t="shared" si="1"/>
        <v>August</v>
      </c>
      <c r="D102" s="35" t="str">
        <f>_xlfn.XLOOKUP(B102,Sales_Transactions!B$2:B$251,Sales_Transactions!M$2:M$251)</f>
        <v>N/A</v>
      </c>
      <c r="E102" s="32"/>
    </row>
    <row r="103" spans="2:5">
      <c r="B103" s="3">
        <v>45294</v>
      </c>
      <c r="C103" s="3" t="str">
        <f t="shared" si="1"/>
        <v>January</v>
      </c>
      <c r="D103" s="35">
        <f>_xlfn.XLOOKUP(B103,Sales_Transactions!B$2:B$251,Sales_Transactions!M$2:M$251)</f>
        <v>12750</v>
      </c>
      <c r="E103" s="32"/>
    </row>
    <row r="104" spans="2:5">
      <c r="B104" s="3">
        <v>44978</v>
      </c>
      <c r="C104" s="3" t="str">
        <f t="shared" si="1"/>
        <v>February</v>
      </c>
      <c r="D104" s="35" t="str">
        <f>_xlfn.XLOOKUP(B104,Sales_Transactions!B$2:B$251,Sales_Transactions!M$2:M$251)</f>
        <v>N/A</v>
      </c>
      <c r="E104" s="32"/>
    </row>
    <row r="105" spans="2:5">
      <c r="B105" s="3">
        <v>44928</v>
      </c>
      <c r="C105" s="3" t="str">
        <f t="shared" si="1"/>
        <v>January</v>
      </c>
      <c r="D105" s="35">
        <f>_xlfn.XLOOKUP(B105,Sales_Transactions!B$2:B$251,Sales_Transactions!M$2:M$251)</f>
        <v>10450</v>
      </c>
      <c r="E105" s="32"/>
    </row>
    <row r="106" spans="2:5">
      <c r="B106" s="3">
        <v>45222</v>
      </c>
      <c r="C106" s="3" t="str">
        <f t="shared" si="1"/>
        <v>October</v>
      </c>
      <c r="D106" s="35" t="str">
        <f>_xlfn.XLOOKUP(B106,Sales_Transactions!B$2:B$251,Sales_Transactions!M$2:M$251)</f>
        <v>N/A</v>
      </c>
      <c r="E106" s="32"/>
    </row>
    <row r="107" spans="2:5">
      <c r="B107" s="3">
        <v>45351</v>
      </c>
      <c r="C107" s="3" t="str">
        <f t="shared" si="1"/>
        <v>February</v>
      </c>
      <c r="D107" s="35">
        <f>_xlfn.XLOOKUP(B107,Sales_Transactions!B$2:B$251,Sales_Transactions!M$2:M$251)</f>
        <v>4750</v>
      </c>
      <c r="E107" s="32"/>
    </row>
    <row r="108" spans="2:5">
      <c r="B108" s="3">
        <v>45533</v>
      </c>
      <c r="C108" s="3" t="str">
        <f t="shared" si="1"/>
        <v>August</v>
      </c>
      <c r="D108" s="35">
        <f>_xlfn.XLOOKUP(B108,Sales_Transactions!B$2:B$251,Sales_Transactions!M$2:M$251)</f>
        <v>-1900</v>
      </c>
      <c r="E108" s="32"/>
    </row>
    <row r="109" spans="2:5">
      <c r="B109" s="3">
        <v>45444</v>
      </c>
      <c r="C109" s="3" t="str">
        <f t="shared" si="1"/>
        <v>June</v>
      </c>
      <c r="D109" s="35">
        <f>_xlfn.XLOOKUP(B109,Sales_Transactions!B$2:B$251,Sales_Transactions!M$2:M$251)</f>
        <v>0</v>
      </c>
      <c r="E109" s="32"/>
    </row>
    <row r="110" spans="2:5">
      <c r="B110" s="3">
        <v>45445</v>
      </c>
      <c r="C110" s="3" t="str">
        <f t="shared" si="1"/>
        <v>June</v>
      </c>
      <c r="D110" s="35" t="str">
        <f>_xlfn.XLOOKUP(B110,Sales_Transactions!B$2:B$251,Sales_Transactions!M$2:M$251)</f>
        <v>N/A</v>
      </c>
      <c r="E110" s="32"/>
    </row>
    <row r="111" spans="2:5">
      <c r="B111" s="3">
        <v>45043</v>
      </c>
      <c r="C111" s="3" t="str">
        <f t="shared" si="1"/>
        <v>April</v>
      </c>
      <c r="D111" s="35" t="str">
        <f>_xlfn.XLOOKUP(B111,Sales_Transactions!B$2:B$251,Sales_Transactions!M$2:M$251)</f>
        <v>N/A</v>
      </c>
      <c r="E111" s="32"/>
    </row>
    <row r="112" spans="2:5">
      <c r="B112" s="3">
        <v>45133</v>
      </c>
      <c r="C112" s="3" t="str">
        <f t="shared" si="1"/>
        <v>July</v>
      </c>
      <c r="D112" s="35">
        <f>_xlfn.XLOOKUP(B112,Sales_Transactions!B$2:B$251,Sales_Transactions!M$2:M$251)</f>
        <v>8000</v>
      </c>
      <c r="E112" s="32"/>
    </row>
    <row r="113" spans="2:5">
      <c r="B113" s="3">
        <v>45270</v>
      </c>
      <c r="C113" s="3" t="str">
        <f t="shared" si="1"/>
        <v>December</v>
      </c>
      <c r="D113" s="35">
        <f>_xlfn.XLOOKUP(B113,Sales_Transactions!B$2:B$251,Sales_Transactions!M$2:M$251)</f>
        <v>4400</v>
      </c>
      <c r="E113" s="32"/>
    </row>
    <row r="114" spans="2:5">
      <c r="B114" s="3">
        <v>44930</v>
      </c>
      <c r="C114" s="3" t="str">
        <f t="shared" si="1"/>
        <v>January</v>
      </c>
      <c r="D114" s="35" t="str">
        <f>_xlfn.XLOOKUP(B114,Sales_Transactions!B$2:B$251,Sales_Transactions!M$2:M$251)</f>
        <v>N/A</v>
      </c>
      <c r="E114" s="32"/>
    </row>
    <row r="115" spans="2:5">
      <c r="B115" s="3">
        <v>45068</v>
      </c>
      <c r="C115" s="3" t="str">
        <f t="shared" si="1"/>
        <v>May</v>
      </c>
      <c r="D115" s="35" t="str">
        <f>_xlfn.XLOOKUP(B115,Sales_Transactions!B$2:B$251,Sales_Transactions!M$2:M$251)</f>
        <v>N/A</v>
      </c>
      <c r="E115" s="32"/>
    </row>
    <row r="116" spans="2:5">
      <c r="B116" s="3">
        <v>45555</v>
      </c>
      <c r="C116" s="3" t="str">
        <f t="shared" si="1"/>
        <v>September</v>
      </c>
      <c r="D116" s="35">
        <f>_xlfn.XLOOKUP(B116,Sales_Transactions!B$2:B$251,Sales_Transactions!M$2:M$251)</f>
        <v>1260</v>
      </c>
      <c r="E116" s="32"/>
    </row>
    <row r="117" spans="2:5">
      <c r="B117" s="3">
        <v>45070</v>
      </c>
      <c r="C117" s="3" t="str">
        <f t="shared" si="1"/>
        <v>May</v>
      </c>
      <c r="D117" s="35">
        <f>_xlfn.XLOOKUP(B117,Sales_Transactions!B$2:B$251,Sales_Transactions!M$2:M$251)</f>
        <v>4000</v>
      </c>
      <c r="E117" s="32"/>
    </row>
    <row r="118" spans="2:5">
      <c r="B118" s="3">
        <v>45213</v>
      </c>
      <c r="C118" s="3" t="str">
        <f t="shared" si="1"/>
        <v>October</v>
      </c>
      <c r="D118" s="35">
        <f>_xlfn.XLOOKUP(B118,Sales_Transactions!B$2:B$251,Sales_Transactions!M$2:M$251)</f>
        <v>1020</v>
      </c>
      <c r="E118" s="32"/>
    </row>
    <row r="119" spans="2:5">
      <c r="B119" s="3">
        <v>45225</v>
      </c>
      <c r="C119" s="3" t="str">
        <f t="shared" si="1"/>
        <v>October</v>
      </c>
      <c r="D119" s="35">
        <f>_xlfn.XLOOKUP(B119,Sales_Transactions!B$2:B$251,Sales_Transactions!M$2:M$251)</f>
        <v>950</v>
      </c>
      <c r="E119" s="32"/>
    </row>
    <row r="120" spans="2:5">
      <c r="B120" s="3">
        <v>45074</v>
      </c>
      <c r="C120" s="3" t="str">
        <f t="shared" si="1"/>
        <v>May</v>
      </c>
      <c r="D120" s="35" t="str">
        <f>_xlfn.XLOOKUP(B120,Sales_Transactions!B$2:B$251,Sales_Transactions!M$2:M$251)</f>
        <v>N/A</v>
      </c>
      <c r="E120" s="32"/>
    </row>
    <row r="121" spans="2:5">
      <c r="B121" s="3">
        <v>45462</v>
      </c>
      <c r="C121" s="3" t="str">
        <f t="shared" si="1"/>
        <v>June</v>
      </c>
      <c r="D121" s="35">
        <f>_xlfn.XLOOKUP(B121,Sales_Transactions!B$2:B$251,Sales_Transactions!M$2:M$251)</f>
        <v>4037.5</v>
      </c>
      <c r="E121" s="32"/>
    </row>
    <row r="122" spans="2:5">
      <c r="B122" s="3">
        <v>45233</v>
      </c>
      <c r="C122" s="3" t="str">
        <f t="shared" si="1"/>
        <v>November</v>
      </c>
      <c r="D122" s="35">
        <f>_xlfn.XLOOKUP(B122,Sales_Transactions!B$2:B$251,Sales_Transactions!M$2:M$251)</f>
        <v>1400</v>
      </c>
      <c r="E122" s="32"/>
    </row>
    <row r="123" spans="2:5">
      <c r="B123" s="3">
        <v>44960</v>
      </c>
      <c r="C123" s="3" t="str">
        <f t="shared" si="1"/>
        <v>February</v>
      </c>
      <c r="D123" s="35">
        <f>_xlfn.XLOOKUP(B123,Sales_Transactions!B$2:B$251,Sales_Transactions!M$2:M$251)</f>
        <v>640</v>
      </c>
      <c r="E123" s="32"/>
    </row>
    <row r="124" spans="2:5">
      <c r="B124" s="3">
        <v>45513</v>
      </c>
      <c r="C124" s="3" t="str">
        <f t="shared" si="1"/>
        <v>August</v>
      </c>
      <c r="D124" s="35">
        <f>_xlfn.XLOOKUP(B124,Sales_Transactions!B$2:B$251,Sales_Transactions!M$2:M$251)</f>
        <v>-1900</v>
      </c>
      <c r="E124" s="32"/>
    </row>
    <row r="125" spans="2:5">
      <c r="B125" s="3">
        <v>45011</v>
      </c>
      <c r="C125" s="3" t="str">
        <f t="shared" si="1"/>
        <v>March</v>
      </c>
      <c r="D125" s="35" t="str">
        <f>_xlfn.XLOOKUP(B125,Sales_Transactions!B$2:B$251,Sales_Transactions!M$2:M$251)</f>
        <v>N/A</v>
      </c>
      <c r="E125" s="32"/>
    </row>
    <row r="126" spans="2:5">
      <c r="B126" s="3">
        <v>45043</v>
      </c>
      <c r="C126" s="3" t="str">
        <f t="shared" si="1"/>
        <v>April</v>
      </c>
      <c r="D126" s="35" t="str">
        <f>_xlfn.XLOOKUP(B126,Sales_Transactions!B$2:B$251,Sales_Transactions!M$2:M$251)</f>
        <v>N/A</v>
      </c>
      <c r="E126" s="32"/>
    </row>
    <row r="127" spans="2:5">
      <c r="B127" s="3">
        <v>44935</v>
      </c>
      <c r="C127" s="3" t="str">
        <f t="shared" si="1"/>
        <v>January</v>
      </c>
      <c r="D127" s="35">
        <f>_xlfn.XLOOKUP(B127,Sales_Transactions!B$2:B$251,Sales_Transactions!M$2:M$251)</f>
        <v>3600</v>
      </c>
      <c r="E127" s="32"/>
    </row>
    <row r="128" spans="2:5">
      <c r="B128" s="3">
        <v>44973</v>
      </c>
      <c r="C128" s="3" t="str">
        <f t="shared" si="1"/>
        <v>February</v>
      </c>
      <c r="D128" s="35">
        <f>_xlfn.XLOOKUP(B128,Sales_Transactions!B$2:B$251,Sales_Transactions!M$2:M$251)</f>
        <v>7220</v>
      </c>
      <c r="E128" s="32"/>
    </row>
    <row r="129" spans="2:5">
      <c r="B129" s="3">
        <v>44936</v>
      </c>
      <c r="C129" s="3" t="str">
        <f t="shared" si="1"/>
        <v>January</v>
      </c>
      <c r="D129" s="35">
        <f>_xlfn.XLOOKUP(B129,Sales_Transactions!B$2:B$251,Sales_Transactions!M$2:M$251)</f>
        <v>3960</v>
      </c>
      <c r="E129" s="32"/>
    </row>
    <row r="130" spans="2:5">
      <c r="B130" s="3">
        <v>45273</v>
      </c>
      <c r="C130" s="3" t="str">
        <f t="shared" si="1"/>
        <v>December</v>
      </c>
      <c r="D130" s="35" t="str">
        <f>_xlfn.XLOOKUP(B130,Sales_Transactions!B$2:B$251,Sales_Transactions!M$2:M$251)</f>
        <v>N/A</v>
      </c>
      <c r="E130" s="32"/>
    </row>
    <row r="131" spans="2:5">
      <c r="B131" s="3">
        <v>45177</v>
      </c>
      <c r="C131" s="3" t="str">
        <f t="shared" si="1"/>
        <v>September</v>
      </c>
      <c r="D131" s="35" t="str">
        <f>_xlfn.XLOOKUP(B131,Sales_Transactions!B$2:B$251,Sales_Transactions!M$2:M$251)</f>
        <v>N/A</v>
      </c>
      <c r="E131" s="32"/>
    </row>
    <row r="132" spans="2:5">
      <c r="B132" s="3">
        <v>44947</v>
      </c>
      <c r="C132" s="3" t="str">
        <f t="shared" si="1"/>
        <v>January</v>
      </c>
      <c r="D132" s="35">
        <f>_xlfn.XLOOKUP(B132,Sales_Transactions!B$2:B$251,Sales_Transactions!M$2:M$251)</f>
        <v>4800</v>
      </c>
      <c r="E132" s="32"/>
    </row>
    <row r="133" spans="2:5">
      <c r="B133" s="3">
        <v>45017</v>
      </c>
      <c r="C133" s="3" t="str">
        <f t="shared" si="1"/>
        <v>April</v>
      </c>
      <c r="D133" s="35" t="str">
        <f>_xlfn.XLOOKUP(B133,Sales_Transactions!B$2:B$251,Sales_Transactions!M$2:M$251)</f>
        <v>N/A</v>
      </c>
      <c r="E133" s="32"/>
    </row>
    <row r="134" spans="2:5">
      <c r="B134" s="3">
        <v>45234</v>
      </c>
      <c r="C134" s="3" t="str">
        <f t="shared" ref="C134:C197" si="2">TEXT(B134,"mmmm")</f>
        <v>November</v>
      </c>
      <c r="D134" s="35">
        <f>_xlfn.XLOOKUP(B134,Sales_Transactions!B$2:B$251,Sales_Transactions!M$2:M$251)</f>
        <v>360</v>
      </c>
      <c r="E134" s="32"/>
    </row>
    <row r="135" spans="2:5">
      <c r="B135" s="3">
        <v>45122</v>
      </c>
      <c r="C135" s="3" t="str">
        <f t="shared" si="2"/>
        <v>July</v>
      </c>
      <c r="D135" s="35" t="str">
        <f>_xlfn.XLOOKUP(B135,Sales_Transactions!B$2:B$251,Sales_Transactions!M$2:M$251)</f>
        <v>N/A</v>
      </c>
      <c r="E135" s="32"/>
    </row>
    <row r="136" spans="2:5">
      <c r="B136" s="3">
        <v>45058</v>
      </c>
      <c r="C136" s="3" t="str">
        <f t="shared" si="2"/>
        <v>May</v>
      </c>
      <c r="D136" s="35">
        <f>_xlfn.XLOOKUP(B136,Sales_Transactions!B$2:B$251,Sales_Transactions!M$2:M$251)</f>
        <v>5950</v>
      </c>
      <c r="E136" s="32"/>
    </row>
    <row r="137" spans="2:5">
      <c r="B137" s="3">
        <v>45514</v>
      </c>
      <c r="C137" s="3" t="str">
        <f t="shared" si="2"/>
        <v>August</v>
      </c>
      <c r="D137" s="35" t="str">
        <f>_xlfn.XLOOKUP(B137,Sales_Transactions!B$2:B$251,Sales_Transactions!M$2:M$251)</f>
        <v>N/A</v>
      </c>
      <c r="E137" s="32"/>
    </row>
    <row r="138" spans="2:5">
      <c r="B138" s="3">
        <v>45332</v>
      </c>
      <c r="C138" s="3" t="str">
        <f t="shared" si="2"/>
        <v>February</v>
      </c>
      <c r="D138" s="35">
        <f>_xlfn.XLOOKUP(B138,Sales_Transactions!B$2:B$251,Sales_Transactions!M$2:M$251)</f>
        <v>0</v>
      </c>
      <c r="E138" s="32"/>
    </row>
    <row r="139" spans="2:5">
      <c r="B139" s="3">
        <v>45322</v>
      </c>
      <c r="C139" s="3" t="str">
        <f t="shared" si="2"/>
        <v>January</v>
      </c>
      <c r="D139" s="35">
        <f>_xlfn.XLOOKUP(B139,Sales_Transactions!B$2:B$251,Sales_Transactions!M$2:M$251)</f>
        <v>-1600</v>
      </c>
      <c r="E139" s="32"/>
    </row>
    <row r="140" spans="2:5">
      <c r="B140" s="3">
        <v>44982</v>
      </c>
      <c r="C140" s="3" t="str">
        <f t="shared" si="2"/>
        <v>February</v>
      </c>
      <c r="D140" s="35" t="str">
        <f>_xlfn.XLOOKUP(B140,Sales_Transactions!B$2:B$251,Sales_Transactions!M$2:M$251)</f>
        <v>N/A</v>
      </c>
      <c r="E140" s="32"/>
    </row>
    <row r="141" spans="2:5">
      <c r="B141" s="3">
        <v>45350</v>
      </c>
      <c r="C141" s="3" t="str">
        <f t="shared" si="2"/>
        <v>February</v>
      </c>
      <c r="D141" s="35">
        <f>_xlfn.XLOOKUP(B141,Sales_Transactions!B$2:B$251,Sales_Transactions!M$2:M$251)</f>
        <v>11400</v>
      </c>
      <c r="E141" s="32"/>
    </row>
    <row r="142" spans="2:5">
      <c r="B142" s="3">
        <v>44965</v>
      </c>
      <c r="C142" s="3" t="str">
        <f t="shared" si="2"/>
        <v>February</v>
      </c>
      <c r="D142" s="35">
        <f>_xlfn.XLOOKUP(B142,Sales_Transactions!B$2:B$251,Sales_Transactions!M$2:M$251)</f>
        <v>3135</v>
      </c>
      <c r="E142" s="32"/>
    </row>
    <row r="143" spans="2:5">
      <c r="B143" s="3">
        <v>45491</v>
      </c>
      <c r="C143" s="3" t="str">
        <f t="shared" si="2"/>
        <v>July</v>
      </c>
      <c r="D143" s="35">
        <f>_xlfn.XLOOKUP(B143,Sales_Transactions!B$2:B$251,Sales_Transactions!M$2:M$251)</f>
        <v>640</v>
      </c>
      <c r="E143" s="32"/>
    </row>
    <row r="144" spans="2:5">
      <c r="B144" s="3">
        <v>44990</v>
      </c>
      <c r="C144" s="3" t="str">
        <f t="shared" si="2"/>
        <v>March</v>
      </c>
      <c r="D144" s="35">
        <f>_xlfn.XLOOKUP(B144,Sales_Transactions!B$2:B$251,Sales_Transactions!M$2:M$251)</f>
        <v>-320</v>
      </c>
      <c r="E144" s="32"/>
    </row>
    <row r="145" spans="2:5">
      <c r="B145" s="3">
        <v>45114</v>
      </c>
      <c r="C145" s="3" t="str">
        <f t="shared" si="2"/>
        <v>July</v>
      </c>
      <c r="D145" s="35" t="str">
        <f>_xlfn.XLOOKUP(B145,Sales_Transactions!B$2:B$251,Sales_Transactions!M$2:M$251)</f>
        <v>N/A</v>
      </c>
      <c r="E145" s="32"/>
    </row>
    <row r="146" spans="2:5">
      <c r="B146" s="3">
        <v>45101</v>
      </c>
      <c r="C146" s="3" t="str">
        <f t="shared" si="2"/>
        <v>June</v>
      </c>
      <c r="D146" s="35">
        <f>_xlfn.XLOOKUP(B146,Sales_Transactions!B$2:B$251,Sales_Transactions!M$2:M$251)</f>
        <v>1995</v>
      </c>
      <c r="E146" s="32"/>
    </row>
    <row r="147" spans="2:5">
      <c r="B147" s="3">
        <v>45117</v>
      </c>
      <c r="C147" s="3" t="str">
        <f t="shared" si="2"/>
        <v>July</v>
      </c>
      <c r="D147" s="35">
        <f>_xlfn.XLOOKUP(B147,Sales_Transactions!B$2:B$251,Sales_Transactions!M$2:M$251)</f>
        <v>1600</v>
      </c>
      <c r="E147" s="32"/>
    </row>
    <row r="148" spans="2:5">
      <c r="B148" s="3">
        <v>45364</v>
      </c>
      <c r="C148" s="3" t="str">
        <f t="shared" si="2"/>
        <v>March</v>
      </c>
      <c r="D148" s="35" t="str">
        <f>_xlfn.XLOOKUP(B148,Sales_Transactions!B$2:B$251,Sales_Transactions!M$2:M$251)</f>
        <v>N/A</v>
      </c>
      <c r="E148" s="32"/>
    </row>
    <row r="149" spans="2:5">
      <c r="B149" s="3">
        <v>44982</v>
      </c>
      <c r="C149" s="3" t="str">
        <f t="shared" si="2"/>
        <v>February</v>
      </c>
      <c r="D149" s="35" t="str">
        <f>_xlfn.XLOOKUP(B149,Sales_Transactions!B$2:B$251,Sales_Transactions!M$2:M$251)</f>
        <v>N/A</v>
      </c>
      <c r="E149" s="32"/>
    </row>
    <row r="150" spans="2:5">
      <c r="B150" s="3">
        <v>45512</v>
      </c>
      <c r="C150" s="3" t="str">
        <f t="shared" si="2"/>
        <v>August</v>
      </c>
      <c r="D150" s="35">
        <f>_xlfn.XLOOKUP(B150,Sales_Transactions!B$2:B$251,Sales_Transactions!M$2:M$251)</f>
        <v>4080</v>
      </c>
      <c r="E150" s="32"/>
    </row>
    <row r="151" spans="2:5">
      <c r="B151" s="3">
        <v>45555</v>
      </c>
      <c r="C151" s="3" t="str">
        <f t="shared" si="2"/>
        <v>September</v>
      </c>
      <c r="D151" s="35">
        <f>_xlfn.XLOOKUP(B151,Sales_Transactions!B$2:B$251,Sales_Transactions!M$2:M$251)</f>
        <v>1260</v>
      </c>
      <c r="E151" s="32"/>
    </row>
    <row r="152" spans="2:5">
      <c r="B152" s="3">
        <v>45103</v>
      </c>
      <c r="C152" s="3" t="str">
        <f t="shared" si="2"/>
        <v>June</v>
      </c>
      <c r="D152" s="35">
        <f>_xlfn.XLOOKUP(B152,Sales_Transactions!B$2:B$251,Sales_Transactions!M$2:M$251)</f>
        <v>0</v>
      </c>
      <c r="E152" s="32"/>
    </row>
    <row r="153" spans="2:5">
      <c r="B153" s="3">
        <v>45087</v>
      </c>
      <c r="C153" s="3" t="str">
        <f t="shared" si="2"/>
        <v>June</v>
      </c>
      <c r="D153" s="35" t="str">
        <f>_xlfn.XLOOKUP(B153,Sales_Transactions!B$2:B$251,Sales_Transactions!M$2:M$251)</f>
        <v>N/A</v>
      </c>
      <c r="E153" s="32"/>
    </row>
    <row r="154" spans="2:5">
      <c r="B154" s="3">
        <v>45017</v>
      </c>
      <c r="C154" s="3" t="str">
        <f t="shared" si="2"/>
        <v>April</v>
      </c>
      <c r="D154" s="35" t="str">
        <f>_xlfn.XLOOKUP(B154,Sales_Transactions!B$2:B$251,Sales_Transactions!M$2:M$251)</f>
        <v>N/A</v>
      </c>
      <c r="E154" s="32"/>
    </row>
    <row r="155" spans="2:5">
      <c r="B155" s="3">
        <v>45185</v>
      </c>
      <c r="C155" s="3" t="str">
        <f t="shared" si="2"/>
        <v>September</v>
      </c>
      <c r="D155" s="35">
        <f>_xlfn.XLOOKUP(B155,Sales_Transactions!B$2:B$251,Sales_Transactions!M$2:M$251)</f>
        <v>7600</v>
      </c>
      <c r="E155" s="32"/>
    </row>
    <row r="156" spans="2:5">
      <c r="B156" s="3">
        <v>45030</v>
      </c>
      <c r="C156" s="3" t="str">
        <f t="shared" si="2"/>
        <v>April</v>
      </c>
      <c r="D156" s="35" t="str">
        <f>_xlfn.XLOOKUP(B156,Sales_Transactions!B$2:B$251,Sales_Transactions!M$2:M$251)</f>
        <v>N/A</v>
      </c>
      <c r="E156" s="32"/>
    </row>
    <row r="157" spans="2:5">
      <c r="B157" s="3">
        <v>45167</v>
      </c>
      <c r="C157" s="3" t="str">
        <f t="shared" si="2"/>
        <v>August</v>
      </c>
      <c r="D157" s="35">
        <f>_xlfn.XLOOKUP(B157,Sales_Transactions!B$2:B$251,Sales_Transactions!M$2:M$251)</f>
        <v>2090</v>
      </c>
      <c r="E157" s="32"/>
    </row>
    <row r="158" spans="2:5">
      <c r="B158" s="3">
        <v>45101</v>
      </c>
      <c r="C158" s="3" t="str">
        <f t="shared" si="2"/>
        <v>June</v>
      </c>
      <c r="D158" s="35">
        <f>_xlfn.XLOOKUP(B158,Sales_Transactions!B$2:B$251,Sales_Transactions!M$2:M$251)</f>
        <v>1995</v>
      </c>
      <c r="E158" s="32"/>
    </row>
    <row r="159" spans="2:5">
      <c r="B159" s="3">
        <v>45380</v>
      </c>
      <c r="C159" s="3" t="str">
        <f t="shared" si="2"/>
        <v>March</v>
      </c>
      <c r="D159" s="35" t="str">
        <f>_xlfn.XLOOKUP(B159,Sales_Transactions!B$2:B$251,Sales_Transactions!M$2:M$251)</f>
        <v>N/A</v>
      </c>
      <c r="E159" s="32"/>
    </row>
    <row r="160" spans="2:5">
      <c r="B160" s="3">
        <v>45013</v>
      </c>
      <c r="C160" s="3" t="str">
        <f t="shared" si="2"/>
        <v>March</v>
      </c>
      <c r="D160" s="35">
        <f>_xlfn.XLOOKUP(B160,Sales_Transactions!B$2:B$251,Sales_Transactions!M$2:M$251)</f>
        <v>500</v>
      </c>
      <c r="E160" s="32"/>
    </row>
    <row r="161" spans="2:5">
      <c r="B161" s="3">
        <v>45237</v>
      </c>
      <c r="C161" s="3" t="str">
        <f t="shared" si="2"/>
        <v>November</v>
      </c>
      <c r="D161" s="35">
        <f>_xlfn.XLOOKUP(B161,Sales_Transactions!B$2:B$251,Sales_Transactions!M$2:M$251)</f>
        <v>1400</v>
      </c>
      <c r="E161" s="32"/>
    </row>
    <row r="162" spans="2:5">
      <c r="B162" s="3">
        <v>45553</v>
      </c>
      <c r="C162" s="3" t="str">
        <f t="shared" si="2"/>
        <v>September</v>
      </c>
      <c r="D162" s="35">
        <f>_xlfn.XLOOKUP(B162,Sales_Transactions!B$2:B$251,Sales_Transactions!M$2:M$251)</f>
        <v>18700</v>
      </c>
      <c r="E162" s="32"/>
    </row>
    <row r="163" spans="2:5">
      <c r="B163" s="3">
        <v>45143</v>
      </c>
      <c r="C163" s="3" t="str">
        <f t="shared" si="2"/>
        <v>August</v>
      </c>
      <c r="D163" s="35">
        <f>_xlfn.XLOOKUP(B163,Sales_Transactions!B$2:B$251,Sales_Transactions!M$2:M$251)</f>
        <v>0</v>
      </c>
      <c r="E163" s="32"/>
    </row>
    <row r="164" spans="2:5">
      <c r="B164" s="3">
        <v>45236</v>
      </c>
      <c r="C164" s="3" t="str">
        <f t="shared" si="2"/>
        <v>November</v>
      </c>
      <c r="D164" s="35">
        <f>_xlfn.XLOOKUP(B164,Sales_Transactions!B$2:B$251,Sales_Transactions!M$2:M$251)</f>
        <v>4275</v>
      </c>
      <c r="E164" s="32"/>
    </row>
    <row r="165" spans="2:5">
      <c r="B165" s="3">
        <v>45111</v>
      </c>
      <c r="C165" s="3" t="str">
        <f t="shared" si="2"/>
        <v>July</v>
      </c>
      <c r="D165" s="35" t="str">
        <f>_xlfn.XLOOKUP(B165,Sales_Transactions!B$2:B$251,Sales_Transactions!M$2:M$251)</f>
        <v>N/A</v>
      </c>
      <c r="E165" s="32"/>
    </row>
    <row r="166" spans="2:5">
      <c r="B166" s="3">
        <v>45516</v>
      </c>
      <c r="C166" s="3" t="str">
        <f t="shared" si="2"/>
        <v>August</v>
      </c>
      <c r="D166" s="35" t="str">
        <f>_xlfn.XLOOKUP(B166,Sales_Transactions!B$2:B$251,Sales_Transactions!M$2:M$251)</f>
        <v>N/A</v>
      </c>
      <c r="E166" s="32"/>
    </row>
    <row r="167" spans="2:5">
      <c r="B167" s="3">
        <v>45067</v>
      </c>
      <c r="C167" s="3" t="str">
        <f t="shared" si="2"/>
        <v>May</v>
      </c>
      <c r="D167" s="35" t="str">
        <f>_xlfn.XLOOKUP(B167,Sales_Transactions!B$2:B$251,Sales_Transactions!M$2:M$251)</f>
        <v>N/A</v>
      </c>
      <c r="E167" s="32"/>
    </row>
    <row r="168" spans="2:5">
      <c r="B168" s="3">
        <v>44970</v>
      </c>
      <c r="C168" s="3" t="str">
        <f t="shared" si="2"/>
        <v>February</v>
      </c>
      <c r="D168" s="35">
        <f>_xlfn.XLOOKUP(B168,Sales_Transactions!B$2:B$251,Sales_Transactions!M$2:M$251)</f>
        <v>855</v>
      </c>
      <c r="E168" s="32"/>
    </row>
    <row r="169" spans="2:5">
      <c r="B169" s="3">
        <v>45427</v>
      </c>
      <c r="C169" s="3" t="str">
        <f t="shared" si="2"/>
        <v>May</v>
      </c>
      <c r="D169" s="35" t="str">
        <f>_xlfn.XLOOKUP(B169,Sales_Transactions!B$2:B$251,Sales_Transactions!M$2:M$251)</f>
        <v>N/A</v>
      </c>
      <c r="E169" s="32"/>
    </row>
    <row r="170" spans="2:5">
      <c r="B170" s="3">
        <v>45273</v>
      </c>
      <c r="C170" s="3" t="str">
        <f t="shared" si="2"/>
        <v>December</v>
      </c>
      <c r="D170" s="35" t="str">
        <f>_xlfn.XLOOKUP(B170,Sales_Transactions!B$2:B$251,Sales_Transactions!M$2:M$251)</f>
        <v>N/A</v>
      </c>
      <c r="E170" s="32"/>
    </row>
    <row r="171" spans="2:5">
      <c r="B171" s="3">
        <v>45024</v>
      </c>
      <c r="C171" s="3" t="str">
        <f t="shared" si="2"/>
        <v>April</v>
      </c>
      <c r="D171" s="35">
        <f>_xlfn.XLOOKUP(B171,Sales_Transactions!B$2:B$251,Sales_Transactions!M$2:M$251)</f>
        <v>3800</v>
      </c>
      <c r="E171" s="32"/>
    </row>
    <row r="172" spans="2:5">
      <c r="B172" s="3">
        <v>45181</v>
      </c>
      <c r="C172" s="3" t="str">
        <f t="shared" si="2"/>
        <v>September</v>
      </c>
      <c r="D172" s="35">
        <f>_xlfn.XLOOKUP(B172,Sales_Transactions!B$2:B$251,Sales_Transactions!M$2:M$251)</f>
        <v>3840</v>
      </c>
      <c r="E172" s="32"/>
    </row>
    <row r="173" spans="2:5">
      <c r="B173" s="3">
        <v>45036</v>
      </c>
      <c r="C173" s="3" t="str">
        <f t="shared" si="2"/>
        <v>April</v>
      </c>
      <c r="D173" s="35">
        <f>_xlfn.XLOOKUP(B173,Sales_Transactions!B$2:B$251,Sales_Transactions!M$2:M$251)</f>
        <v>760</v>
      </c>
      <c r="E173" s="32"/>
    </row>
    <row r="174" spans="2:5">
      <c r="B174" s="3">
        <v>45090</v>
      </c>
      <c r="C174" s="3" t="str">
        <f t="shared" si="2"/>
        <v>June</v>
      </c>
      <c r="D174" s="35" t="str">
        <f>_xlfn.XLOOKUP(B174,Sales_Transactions!B$2:B$251,Sales_Transactions!M$2:M$251)</f>
        <v>N/A</v>
      </c>
      <c r="E174" s="32"/>
    </row>
    <row r="175" spans="2:5">
      <c r="B175" s="3">
        <v>45270</v>
      </c>
      <c r="C175" s="3" t="str">
        <f t="shared" si="2"/>
        <v>December</v>
      </c>
      <c r="D175" s="35">
        <f>_xlfn.XLOOKUP(B175,Sales_Transactions!B$2:B$251,Sales_Transactions!M$2:M$251)</f>
        <v>4400</v>
      </c>
      <c r="E175" s="32"/>
    </row>
    <row r="176" spans="2:5">
      <c r="B176" s="3">
        <v>44938</v>
      </c>
      <c r="C176" s="3" t="str">
        <f t="shared" si="2"/>
        <v>January</v>
      </c>
      <c r="D176" s="35">
        <f>_xlfn.XLOOKUP(B176,Sales_Transactions!B$2:B$251,Sales_Transactions!M$2:M$251)</f>
        <v>3740</v>
      </c>
      <c r="E176" s="32"/>
    </row>
    <row r="177" spans="2:5">
      <c r="B177" s="3">
        <v>45519</v>
      </c>
      <c r="C177" s="3" t="str">
        <f t="shared" si="2"/>
        <v>August</v>
      </c>
      <c r="D177" s="35">
        <f>_xlfn.XLOOKUP(B177,Sales_Transactions!B$2:B$251,Sales_Transactions!M$2:M$251)</f>
        <v>1330</v>
      </c>
      <c r="E177" s="32"/>
    </row>
    <row r="178" spans="2:5">
      <c r="B178" s="3">
        <v>45257</v>
      </c>
      <c r="C178" s="3" t="str">
        <f t="shared" si="2"/>
        <v>November</v>
      </c>
      <c r="D178" s="35" t="str">
        <f>_xlfn.XLOOKUP(B178,Sales_Transactions!B$2:B$251,Sales_Transactions!M$2:M$251)</f>
        <v>N/A</v>
      </c>
      <c r="E178" s="32"/>
    </row>
    <row r="179" spans="2:5">
      <c r="B179" s="3">
        <v>45296</v>
      </c>
      <c r="C179" s="3" t="str">
        <f t="shared" si="2"/>
        <v>January</v>
      </c>
      <c r="D179" s="35">
        <f>_xlfn.XLOOKUP(B179,Sales_Transactions!B$2:B$251,Sales_Transactions!M$2:M$251)</f>
        <v>19800</v>
      </c>
      <c r="E179" s="32"/>
    </row>
    <row r="180" spans="2:5">
      <c r="B180" s="3">
        <v>45628</v>
      </c>
      <c r="C180" s="3" t="str">
        <f t="shared" si="2"/>
        <v>December</v>
      </c>
      <c r="D180" s="35">
        <f>_xlfn.XLOOKUP(B180,Sales_Transactions!B$2:B$251,Sales_Transactions!M$2:M$251)</f>
        <v>6400</v>
      </c>
      <c r="E180" s="32"/>
    </row>
    <row r="181" spans="2:5">
      <c r="B181" s="3">
        <v>45173</v>
      </c>
      <c r="C181" s="3" t="str">
        <f t="shared" si="2"/>
        <v>September</v>
      </c>
      <c r="D181" s="35">
        <f>_xlfn.XLOOKUP(B181,Sales_Transactions!B$2:B$251,Sales_Transactions!M$2:M$251)</f>
        <v>1890</v>
      </c>
      <c r="E181" s="32"/>
    </row>
    <row r="182" spans="2:5">
      <c r="B182" s="3">
        <v>45416</v>
      </c>
      <c r="C182" s="3" t="str">
        <f t="shared" si="2"/>
        <v>May</v>
      </c>
      <c r="D182" s="35">
        <f>_xlfn.XLOOKUP(B182,Sales_Transactions!B$2:B$251,Sales_Transactions!M$2:M$251)</f>
        <v>4080</v>
      </c>
      <c r="E182" s="32"/>
    </row>
    <row r="183" spans="2:5">
      <c r="B183" s="3">
        <v>45528</v>
      </c>
      <c r="C183" s="3" t="str">
        <f t="shared" si="2"/>
        <v>August</v>
      </c>
      <c r="D183" s="35" t="str">
        <f>_xlfn.XLOOKUP(B183,Sales_Transactions!B$2:B$251,Sales_Transactions!M$2:M$251)</f>
        <v>N/A</v>
      </c>
      <c r="E183" s="32"/>
    </row>
    <row r="184" spans="2:5">
      <c r="B184" s="3">
        <v>45572</v>
      </c>
      <c r="C184" s="3" t="str">
        <f t="shared" si="2"/>
        <v>October</v>
      </c>
      <c r="D184" s="35" t="str">
        <f>_xlfn.XLOOKUP(B184,Sales_Transactions!B$2:B$251,Sales_Transactions!M$2:M$251)</f>
        <v>N/A</v>
      </c>
      <c r="E184" s="32"/>
    </row>
    <row r="185" spans="2:5">
      <c r="B185" s="3">
        <v>45317</v>
      </c>
      <c r="C185" s="3" t="str">
        <f t="shared" si="2"/>
        <v>January</v>
      </c>
      <c r="D185" s="35" t="str">
        <f>_xlfn.XLOOKUP(B185,Sales_Transactions!B$2:B$251,Sales_Transactions!M$2:M$251)</f>
        <v>N/A</v>
      </c>
      <c r="E185" s="32"/>
    </row>
    <row r="186" spans="2:5">
      <c r="B186" s="3">
        <v>45057</v>
      </c>
      <c r="C186" s="3" t="str">
        <f t="shared" si="2"/>
        <v>May</v>
      </c>
      <c r="D186" s="35">
        <f>_xlfn.XLOOKUP(B186,Sales_Transactions!B$2:B$251,Sales_Transactions!M$2:M$251)</f>
        <v>400</v>
      </c>
      <c r="E186" s="32"/>
    </row>
    <row r="187" spans="2:5">
      <c r="B187" s="3">
        <v>45105</v>
      </c>
      <c r="C187" s="3" t="str">
        <f t="shared" si="2"/>
        <v>June</v>
      </c>
      <c r="D187" s="35">
        <f>_xlfn.XLOOKUP(B187,Sales_Transactions!B$2:B$251,Sales_Transactions!M$2:M$251)</f>
        <v>-1275</v>
      </c>
      <c r="E187" s="32"/>
    </row>
    <row r="188" spans="2:5">
      <c r="B188" s="3">
        <v>45173</v>
      </c>
      <c r="C188" s="3" t="str">
        <f t="shared" si="2"/>
        <v>September</v>
      </c>
      <c r="D188" s="35">
        <f>_xlfn.XLOOKUP(B188,Sales_Transactions!B$2:B$251,Sales_Transactions!M$2:M$251)</f>
        <v>1890</v>
      </c>
      <c r="E188" s="32"/>
    </row>
    <row r="189" spans="2:5">
      <c r="B189" s="3">
        <v>45016</v>
      </c>
      <c r="C189" s="3" t="str">
        <f t="shared" si="2"/>
        <v>March</v>
      </c>
      <c r="D189" s="35">
        <f>_xlfn.XLOOKUP(B189,Sales_Transactions!B$2:B$251,Sales_Transactions!M$2:M$251)</f>
        <v>4180</v>
      </c>
      <c r="E189" s="32"/>
    </row>
    <row r="190" spans="2:5">
      <c r="B190" s="3">
        <v>45355</v>
      </c>
      <c r="C190" s="3" t="str">
        <f t="shared" si="2"/>
        <v>March</v>
      </c>
      <c r="D190" s="35">
        <f>_xlfn.XLOOKUP(B190,Sales_Transactions!B$2:B$251,Sales_Transactions!M$2:M$251)</f>
        <v>9350</v>
      </c>
      <c r="E190" s="32"/>
    </row>
    <row r="191" spans="2:5">
      <c r="B191" s="3">
        <v>45562</v>
      </c>
      <c r="C191" s="3" t="str">
        <f t="shared" si="2"/>
        <v>September</v>
      </c>
      <c r="D191" s="35" t="str">
        <f>_xlfn.XLOOKUP(B191,Sales_Transactions!B$2:B$251,Sales_Transactions!M$2:M$251)</f>
        <v>N/A</v>
      </c>
      <c r="E191" s="32"/>
    </row>
    <row r="192" spans="2:5">
      <c r="B192" s="3">
        <v>45229</v>
      </c>
      <c r="C192" s="3" t="str">
        <f t="shared" si="2"/>
        <v>October</v>
      </c>
      <c r="D192" s="35" t="str">
        <f>_xlfn.XLOOKUP(B192,Sales_Transactions!B$2:B$251,Sales_Transactions!M$2:M$251)</f>
        <v>N/A</v>
      </c>
      <c r="E192" s="32"/>
    </row>
    <row r="193" spans="2:5">
      <c r="B193" s="3">
        <v>45436</v>
      </c>
      <c r="C193" s="3" t="str">
        <f t="shared" si="2"/>
        <v>May</v>
      </c>
      <c r="D193" s="35" t="str">
        <f>_xlfn.XLOOKUP(B193,Sales_Transactions!B$2:B$251,Sales_Transactions!M$2:M$251)</f>
        <v>N/A</v>
      </c>
      <c r="E193" s="32"/>
    </row>
    <row r="194" spans="2:5">
      <c r="B194" s="3">
        <v>44935</v>
      </c>
      <c r="C194" s="3" t="str">
        <f t="shared" si="2"/>
        <v>January</v>
      </c>
      <c r="D194" s="35">
        <f>_xlfn.XLOOKUP(B194,Sales_Transactions!B$2:B$251,Sales_Transactions!M$2:M$251)</f>
        <v>3600</v>
      </c>
      <c r="E194" s="32"/>
    </row>
    <row r="195" spans="2:5">
      <c r="B195" s="3">
        <v>45186</v>
      </c>
      <c r="C195" s="3" t="str">
        <f t="shared" si="2"/>
        <v>September</v>
      </c>
      <c r="D195" s="35">
        <f>_xlfn.XLOOKUP(B195,Sales_Transactions!B$2:B$251,Sales_Transactions!M$2:M$251)</f>
        <v>1120</v>
      </c>
      <c r="E195" s="32"/>
    </row>
    <row r="196" spans="2:5">
      <c r="B196" s="3">
        <v>45044</v>
      </c>
      <c r="C196" s="3" t="str">
        <f t="shared" si="2"/>
        <v>April</v>
      </c>
      <c r="D196" s="35">
        <f>_xlfn.XLOOKUP(B196,Sales_Transactions!B$2:B$251,Sales_Transactions!M$2:M$251)</f>
        <v>7600</v>
      </c>
      <c r="E196" s="32"/>
    </row>
    <row r="197" spans="2:5">
      <c r="B197" s="3">
        <v>44931</v>
      </c>
      <c r="C197" s="3" t="str">
        <f t="shared" si="2"/>
        <v>January</v>
      </c>
      <c r="D197" s="35">
        <f>_xlfn.XLOOKUP(B197,Sales_Transactions!B$2:B$251,Sales_Transactions!M$2:M$251)</f>
        <v>680</v>
      </c>
      <c r="E197" s="32"/>
    </row>
    <row r="198" spans="2:5">
      <c r="B198" s="3">
        <v>45557</v>
      </c>
      <c r="C198" s="3" t="str">
        <f t="shared" ref="C198:C254" si="3">TEXT(B198,"mmmm")</f>
        <v>September</v>
      </c>
      <c r="D198" s="35">
        <f>_xlfn.XLOOKUP(B198,Sales_Transactions!B$2:B$251,Sales_Transactions!M$2:M$251)</f>
        <v>2850</v>
      </c>
      <c r="E198" s="32"/>
    </row>
    <row r="199" spans="2:5">
      <c r="B199" s="3">
        <v>45211</v>
      </c>
      <c r="C199" s="3" t="str">
        <f t="shared" si="3"/>
        <v>October</v>
      </c>
      <c r="D199" s="35">
        <f>_xlfn.XLOOKUP(B199,Sales_Transactions!B$2:B$251,Sales_Transactions!M$2:M$251)</f>
        <v>-340</v>
      </c>
      <c r="E199" s="32"/>
    </row>
    <row r="200" spans="2:5">
      <c r="B200" s="3">
        <v>45229</v>
      </c>
      <c r="C200" s="3" t="str">
        <f t="shared" si="3"/>
        <v>October</v>
      </c>
      <c r="D200" s="35" t="str">
        <f>_xlfn.XLOOKUP(B200,Sales_Transactions!B$2:B$251,Sales_Transactions!M$2:M$251)</f>
        <v>N/A</v>
      </c>
      <c r="E200" s="32"/>
    </row>
    <row r="201" spans="2:5">
      <c r="B201" s="3">
        <v>45194</v>
      </c>
      <c r="C201" s="3" t="str">
        <f t="shared" si="3"/>
        <v>September</v>
      </c>
      <c r="D201" s="35">
        <f>_xlfn.XLOOKUP(B201,Sales_Transactions!B$2:B$251,Sales_Transactions!M$2:M$251)</f>
        <v>1710</v>
      </c>
      <c r="E201" s="32"/>
    </row>
    <row r="202" spans="2:5">
      <c r="B202" s="3">
        <v>44957</v>
      </c>
      <c r="C202" s="3" t="str">
        <f t="shared" si="3"/>
        <v>January</v>
      </c>
      <c r="D202" s="35" t="str">
        <f>_xlfn.XLOOKUP(B202,Sales_Transactions!B$2:B$251,Sales_Transactions!M$2:M$251)</f>
        <v>N/A</v>
      </c>
      <c r="E202" s="32"/>
    </row>
    <row r="203" spans="2:5">
      <c r="B203" s="3">
        <v>45282</v>
      </c>
      <c r="C203" s="3" t="str">
        <f t="shared" si="3"/>
        <v>December</v>
      </c>
      <c r="D203" s="35" t="str">
        <f>_xlfn.XLOOKUP(B203,Sales_Transactions!B$2:B$251,Sales_Transactions!M$2:M$251)</f>
        <v>N/A</v>
      </c>
      <c r="E203" s="32"/>
    </row>
    <row r="204" spans="2:5">
      <c r="B204" s="3">
        <v>44939</v>
      </c>
      <c r="C204" s="3" t="str">
        <f t="shared" si="3"/>
        <v>January</v>
      </c>
      <c r="D204" s="35" t="str">
        <f>_xlfn.XLOOKUP(B204,Sales_Transactions!B$2:B$251,Sales_Transactions!M$2:M$251)</f>
        <v>N/A</v>
      </c>
      <c r="E204" s="32"/>
    </row>
    <row r="205" spans="2:5">
      <c r="B205" s="3">
        <v>45510</v>
      </c>
      <c r="C205" s="3" t="str">
        <f t="shared" si="3"/>
        <v>August</v>
      </c>
      <c r="D205" s="35">
        <f>_xlfn.XLOOKUP(B205,Sales_Transactions!B$2:B$251,Sales_Transactions!M$2:M$251)</f>
        <v>-320</v>
      </c>
      <c r="E205" s="32"/>
    </row>
    <row r="206" spans="2:5">
      <c r="B206" s="3">
        <v>45083</v>
      </c>
      <c r="C206" s="3" t="str">
        <f t="shared" si="3"/>
        <v>June</v>
      </c>
      <c r="D206" s="35">
        <f>_xlfn.XLOOKUP(B206,Sales_Transactions!B$2:B$251,Sales_Transactions!M$2:M$251)</f>
        <v>560</v>
      </c>
      <c r="E206" s="32"/>
    </row>
    <row r="207" spans="2:5">
      <c r="B207" s="3">
        <v>45179</v>
      </c>
      <c r="C207" s="3" t="str">
        <f t="shared" si="3"/>
        <v>September</v>
      </c>
      <c r="D207" s="35">
        <f>_xlfn.XLOOKUP(B207,Sales_Transactions!B$2:B$251,Sales_Transactions!M$2:M$251)</f>
        <v>1520</v>
      </c>
      <c r="E207" s="32"/>
    </row>
    <row r="208" spans="2:5">
      <c r="B208" s="3">
        <v>45007</v>
      </c>
      <c r="C208" s="3" t="str">
        <f t="shared" si="3"/>
        <v>March</v>
      </c>
      <c r="D208" s="35">
        <f>_xlfn.XLOOKUP(B208,Sales_Transactions!B$2:B$251,Sales_Transactions!M$2:M$251)</f>
        <v>2160</v>
      </c>
      <c r="E208" s="32"/>
    </row>
    <row r="209" spans="2:5">
      <c r="B209" s="3">
        <v>45566</v>
      </c>
      <c r="C209" s="3" t="str">
        <f t="shared" si="3"/>
        <v>October</v>
      </c>
      <c r="D209" s="35">
        <f>_xlfn.XLOOKUP(B209,Sales_Transactions!B$2:B$251,Sales_Transactions!M$2:M$251)</f>
        <v>6000</v>
      </c>
      <c r="E209" s="32"/>
    </row>
    <row r="210" spans="2:5">
      <c r="B210" s="3">
        <v>45247</v>
      </c>
      <c r="C210" s="3" t="str">
        <f t="shared" si="3"/>
        <v>November</v>
      </c>
      <c r="D210" s="35" t="str">
        <f>_xlfn.XLOOKUP(B210,Sales_Transactions!B$2:B$251,Sales_Transactions!M$2:M$251)</f>
        <v>N/A</v>
      </c>
      <c r="E210" s="32"/>
    </row>
    <row r="211" spans="2:5">
      <c r="B211" s="3">
        <v>45561</v>
      </c>
      <c r="C211" s="3" t="str">
        <f t="shared" si="3"/>
        <v>September</v>
      </c>
      <c r="D211" s="35">
        <f>_xlfn.XLOOKUP(B211,Sales_Transactions!B$2:B$251,Sales_Transactions!M$2:M$251)</f>
        <v>850</v>
      </c>
      <c r="E211" s="32"/>
    </row>
    <row r="212" spans="2:5">
      <c r="B212" s="3">
        <v>45051</v>
      </c>
      <c r="C212" s="3" t="str">
        <f t="shared" si="3"/>
        <v>May</v>
      </c>
      <c r="D212" s="35">
        <f>_xlfn.XLOOKUP(B212,Sales_Transactions!B$2:B$251,Sales_Transactions!M$2:M$251)</f>
        <v>680</v>
      </c>
      <c r="E212" s="32"/>
    </row>
    <row r="213" spans="2:5">
      <c r="B213" s="3">
        <v>45549</v>
      </c>
      <c r="C213" s="3" t="str">
        <f t="shared" si="3"/>
        <v>September</v>
      </c>
      <c r="D213" s="35">
        <f>_xlfn.XLOOKUP(B213,Sales_Transactions!B$2:B$251,Sales_Transactions!M$2:M$251)</f>
        <v>1520</v>
      </c>
      <c r="E213" s="32"/>
    </row>
    <row r="214" spans="2:5">
      <c r="B214" s="3">
        <v>45272</v>
      </c>
      <c r="C214" s="3" t="str">
        <f t="shared" si="3"/>
        <v>December</v>
      </c>
      <c r="D214" s="35" t="str">
        <f>_xlfn.XLOOKUP(B214,Sales_Transactions!B$2:B$251,Sales_Transactions!M$2:M$251)</f>
        <v>N/A</v>
      </c>
      <c r="E214" s="32"/>
    </row>
    <row r="215" spans="2:5">
      <c r="B215" s="3">
        <v>45327</v>
      </c>
      <c r="C215" s="3" t="str">
        <f t="shared" si="3"/>
        <v>February</v>
      </c>
      <c r="D215" s="35">
        <f>_xlfn.XLOOKUP(B215,Sales_Transactions!B$2:B$251,Sales_Transactions!M$2:M$251)</f>
        <v>2400</v>
      </c>
      <c r="E215" s="32"/>
    </row>
    <row r="216" spans="2:5">
      <c r="B216" s="3">
        <v>45363</v>
      </c>
      <c r="C216" s="3" t="str">
        <f t="shared" si="3"/>
        <v>March</v>
      </c>
      <c r="D216" s="35">
        <f>_xlfn.XLOOKUP(B216,Sales_Transactions!B$2:B$251,Sales_Transactions!M$2:M$251)</f>
        <v>5950</v>
      </c>
      <c r="E216" s="32"/>
    </row>
    <row r="217" spans="2:5">
      <c r="B217" s="3">
        <v>45037</v>
      </c>
      <c r="C217" s="3" t="str">
        <f t="shared" si="3"/>
        <v>April</v>
      </c>
      <c r="D217" s="35" t="str">
        <f>_xlfn.XLOOKUP(B217,Sales_Transactions!B$2:B$251,Sales_Transactions!M$2:M$251)</f>
        <v>N/A</v>
      </c>
      <c r="E217" s="32"/>
    </row>
    <row r="218" spans="2:5">
      <c r="B218" s="3">
        <v>45093</v>
      </c>
      <c r="C218" s="3" t="str">
        <f t="shared" si="3"/>
        <v>June</v>
      </c>
      <c r="D218" s="35">
        <f>_xlfn.XLOOKUP(B218,Sales_Transactions!B$2:B$251,Sales_Transactions!M$2:M$251)</f>
        <v>0</v>
      </c>
      <c r="E218" s="32"/>
    </row>
    <row r="219" spans="2:5">
      <c r="B219" s="3">
        <v>45169</v>
      </c>
      <c r="C219" s="3" t="str">
        <f t="shared" si="3"/>
        <v>August</v>
      </c>
      <c r="D219" s="35">
        <f>_xlfn.XLOOKUP(B219,Sales_Transactions!B$2:B$251,Sales_Transactions!M$2:M$251)</f>
        <v>6000</v>
      </c>
      <c r="E219" s="32"/>
    </row>
    <row r="220" spans="2:5">
      <c r="B220" s="3">
        <v>45004</v>
      </c>
      <c r="C220" s="3" t="str">
        <f t="shared" si="3"/>
        <v>March</v>
      </c>
      <c r="D220" s="35" t="str">
        <f>_xlfn.XLOOKUP(B220,Sales_Transactions!B$2:B$251,Sales_Transactions!M$2:M$251)</f>
        <v>N/A</v>
      </c>
      <c r="E220" s="32"/>
    </row>
    <row r="221" spans="2:5">
      <c r="B221" s="3">
        <v>45527</v>
      </c>
      <c r="C221" s="3" t="str">
        <f t="shared" si="3"/>
        <v>August</v>
      </c>
      <c r="D221" s="35" t="str">
        <f>_xlfn.XLOOKUP(B221,Sales_Transactions!B$2:B$251,Sales_Transactions!M$2:M$251)</f>
        <v>N/A</v>
      </c>
      <c r="E221" s="32"/>
    </row>
    <row r="222" spans="2:5">
      <c r="B222" s="3">
        <v>45294</v>
      </c>
      <c r="C222" s="3" t="str">
        <f t="shared" si="3"/>
        <v>January</v>
      </c>
      <c r="D222" s="35">
        <f>_xlfn.XLOOKUP(B222,Sales_Transactions!B$2:B$251,Sales_Transactions!M$2:M$251)</f>
        <v>12750</v>
      </c>
      <c r="E222" s="32"/>
    </row>
    <row r="223" spans="2:5">
      <c r="B223" s="3">
        <v>45224</v>
      </c>
      <c r="C223" s="3" t="str">
        <f t="shared" si="3"/>
        <v>October</v>
      </c>
      <c r="D223" s="35" t="str">
        <f>_xlfn.XLOOKUP(B223,Sales_Transactions!B$2:B$251,Sales_Transactions!M$2:M$251)</f>
        <v>N/A</v>
      </c>
      <c r="E223" s="32"/>
    </row>
    <row r="224" spans="2:5">
      <c r="B224" s="3">
        <v>45134</v>
      </c>
      <c r="C224" s="3" t="str">
        <f t="shared" si="3"/>
        <v>July</v>
      </c>
      <c r="D224" s="35" t="str">
        <f>_xlfn.XLOOKUP(B224,Sales_Transactions!B$2:B$251,Sales_Transactions!M$2:M$251)</f>
        <v>N/A</v>
      </c>
      <c r="E224" s="32"/>
    </row>
    <row r="225" spans="2:5">
      <c r="B225" s="3">
        <v>45441</v>
      </c>
      <c r="C225" s="3" t="str">
        <f t="shared" si="3"/>
        <v>May</v>
      </c>
      <c r="D225" s="35">
        <f>_xlfn.XLOOKUP(B225,Sales_Transactions!B$2:B$251,Sales_Transactions!M$2:M$251)</f>
        <v>1615</v>
      </c>
      <c r="E225" s="32"/>
    </row>
    <row r="226" spans="2:5">
      <c r="B226" s="3">
        <v>44933</v>
      </c>
      <c r="C226" s="3" t="str">
        <f t="shared" si="3"/>
        <v>January</v>
      </c>
      <c r="D226" s="35">
        <f>_xlfn.XLOOKUP(B226,Sales_Transactions!B$2:B$251,Sales_Transactions!M$2:M$251)</f>
        <v>4037.5</v>
      </c>
      <c r="E226" s="32"/>
    </row>
    <row r="227" spans="2:5">
      <c r="B227" s="3">
        <v>45465</v>
      </c>
      <c r="C227" s="3" t="str">
        <f t="shared" si="3"/>
        <v>June</v>
      </c>
      <c r="D227" s="35" t="str">
        <f>_xlfn.XLOOKUP(B227,Sales_Transactions!B$2:B$251,Sales_Transactions!M$2:M$251)</f>
        <v>N/A</v>
      </c>
      <c r="E227" s="32"/>
    </row>
    <row r="228" spans="2:5">
      <c r="B228" s="3">
        <v>45238</v>
      </c>
      <c r="C228" s="3" t="str">
        <f t="shared" si="3"/>
        <v>November</v>
      </c>
      <c r="D228" s="35" t="str">
        <f>_xlfn.XLOOKUP(B228,Sales_Transactions!B$2:B$251,Sales_Transactions!M$2:M$251)</f>
        <v>N/A</v>
      </c>
      <c r="E228" s="32"/>
    </row>
    <row r="229" spans="2:5">
      <c r="B229" s="3">
        <v>45409</v>
      </c>
      <c r="C229" s="3" t="str">
        <f t="shared" si="3"/>
        <v>April</v>
      </c>
      <c r="D229" s="35">
        <f>_xlfn.XLOOKUP(B229,Sales_Transactions!B$2:B$251,Sales_Transactions!M$2:M$251)</f>
        <v>475</v>
      </c>
      <c r="E229" s="32"/>
    </row>
    <row r="230" spans="2:5">
      <c r="B230" s="3">
        <v>45131</v>
      </c>
      <c r="C230" s="3" t="str">
        <f t="shared" si="3"/>
        <v>July</v>
      </c>
      <c r="D230" s="35">
        <f>_xlfn.XLOOKUP(B230,Sales_Transactions!B$2:B$251,Sales_Transactions!M$2:M$251)</f>
        <v>1615</v>
      </c>
      <c r="E230" s="32"/>
    </row>
    <row r="231" spans="2:5">
      <c r="B231" s="3">
        <v>45486</v>
      </c>
      <c r="C231" s="3" t="str">
        <f t="shared" si="3"/>
        <v>July</v>
      </c>
      <c r="D231" s="35" t="str">
        <f>_xlfn.XLOOKUP(B231,Sales_Transactions!B$2:B$251,Sales_Transactions!M$2:M$251)</f>
        <v>N/A</v>
      </c>
      <c r="E231" s="32"/>
    </row>
    <row r="232" spans="2:5">
      <c r="B232" s="3">
        <v>45558</v>
      </c>
      <c r="C232" s="3" t="str">
        <f t="shared" si="3"/>
        <v>September</v>
      </c>
      <c r="D232" s="35">
        <f>_xlfn.XLOOKUP(B232,Sales_Transactions!B$2:B$251,Sales_Transactions!M$2:M$251)</f>
        <v>19000</v>
      </c>
      <c r="E232" s="32"/>
    </row>
    <row r="233" spans="2:5">
      <c r="B233" s="3">
        <v>44965</v>
      </c>
      <c r="C233" s="3" t="str">
        <f t="shared" si="3"/>
        <v>February</v>
      </c>
      <c r="D233" s="35">
        <f>_xlfn.XLOOKUP(B233,Sales_Transactions!B$2:B$251,Sales_Transactions!M$2:M$251)</f>
        <v>3135</v>
      </c>
      <c r="E233" s="32"/>
    </row>
    <row r="234" spans="2:5">
      <c r="B234" s="3">
        <v>44939</v>
      </c>
      <c r="C234" s="3" t="str">
        <f t="shared" si="3"/>
        <v>January</v>
      </c>
      <c r="D234" s="35" t="str">
        <f>_xlfn.XLOOKUP(B234,Sales_Transactions!B$2:B$251,Sales_Transactions!M$2:M$251)</f>
        <v>N/A</v>
      </c>
      <c r="E234" s="32"/>
    </row>
    <row r="235" spans="2:5">
      <c r="B235" s="3">
        <v>45032</v>
      </c>
      <c r="C235" s="3" t="str">
        <f t="shared" si="3"/>
        <v>April</v>
      </c>
      <c r="D235" s="35">
        <f>_xlfn.XLOOKUP(B235,Sales_Transactions!B$2:B$251,Sales_Transactions!M$2:M$251)</f>
        <v>2500</v>
      </c>
      <c r="E235" s="32"/>
    </row>
    <row r="236" spans="2:5">
      <c r="B236" s="3">
        <v>45228</v>
      </c>
      <c r="C236" s="3" t="str">
        <f t="shared" si="3"/>
        <v>October</v>
      </c>
      <c r="D236" s="35" t="str">
        <f>_xlfn.XLOOKUP(B236,Sales_Transactions!B$2:B$251,Sales_Transactions!M$2:M$251)</f>
        <v>N/A</v>
      </c>
      <c r="E236" s="32"/>
    </row>
    <row r="237" spans="2:5">
      <c r="B237" s="3">
        <v>45493</v>
      </c>
      <c r="C237" s="3" t="str">
        <f t="shared" si="3"/>
        <v>July</v>
      </c>
      <c r="D237" s="35">
        <f>_xlfn.XLOOKUP(B237,Sales_Transactions!B$2:B$251,Sales_Transactions!M$2:M$251)</f>
        <v>1800</v>
      </c>
      <c r="E237" s="32"/>
    </row>
    <row r="238" spans="2:5">
      <c r="B238" s="3">
        <v>45096</v>
      </c>
      <c r="C238" s="3" t="str">
        <f t="shared" si="3"/>
        <v>June</v>
      </c>
      <c r="D238" s="35">
        <f>_xlfn.XLOOKUP(B238,Sales_Transactions!B$2:B$251,Sales_Transactions!M$2:M$251)</f>
        <v>2000</v>
      </c>
      <c r="E238" s="32"/>
    </row>
    <row r="239" spans="2:5">
      <c r="B239" s="3">
        <v>44990</v>
      </c>
      <c r="C239" s="3" t="str">
        <f t="shared" si="3"/>
        <v>March</v>
      </c>
      <c r="D239" s="35">
        <f>_xlfn.XLOOKUP(B239,Sales_Transactions!B$2:B$251,Sales_Transactions!M$2:M$251)</f>
        <v>-320</v>
      </c>
      <c r="E239" s="32"/>
    </row>
    <row r="240" spans="2:5">
      <c r="B240" s="3">
        <v>45381</v>
      </c>
      <c r="C240" s="3" t="str">
        <f t="shared" si="3"/>
        <v>March</v>
      </c>
      <c r="D240" s="35">
        <f>_xlfn.XLOOKUP(B240,Sales_Transactions!B$2:B$251,Sales_Transactions!M$2:M$251)</f>
        <v>640</v>
      </c>
      <c r="E240" s="32"/>
    </row>
    <row r="241" spans="2:5">
      <c r="B241" s="3">
        <v>45033</v>
      </c>
      <c r="C241" s="3" t="str">
        <f t="shared" si="3"/>
        <v>April</v>
      </c>
      <c r="D241" s="35" t="str">
        <f>_xlfn.XLOOKUP(B241,Sales_Transactions!B$2:B$251,Sales_Transactions!M$2:M$251)</f>
        <v>N/A</v>
      </c>
      <c r="E241" s="32"/>
    </row>
    <row r="242" spans="2:5">
      <c r="B242" s="3">
        <v>45081</v>
      </c>
      <c r="C242" s="3" t="str">
        <f t="shared" si="3"/>
        <v>June</v>
      </c>
      <c r="D242" s="35">
        <f>_xlfn.XLOOKUP(B242,Sales_Transactions!B$2:B$251,Sales_Transactions!M$2:M$251)</f>
        <v>3500</v>
      </c>
      <c r="E242" s="32"/>
    </row>
    <row r="243" spans="2:5">
      <c r="B243" s="3">
        <v>45458</v>
      </c>
      <c r="C243" s="3" t="str">
        <f t="shared" si="3"/>
        <v>June</v>
      </c>
      <c r="D243" s="35" t="str">
        <f>_xlfn.XLOOKUP(B243,Sales_Transactions!B$2:B$251,Sales_Transactions!M$2:M$251)</f>
        <v>N/A</v>
      </c>
      <c r="E243" s="32"/>
    </row>
    <row r="244" spans="2:5">
      <c r="B244" s="3">
        <v>44954</v>
      </c>
      <c r="C244" s="3" t="str">
        <f t="shared" si="3"/>
        <v>January</v>
      </c>
      <c r="D244" s="35">
        <f>_xlfn.XLOOKUP(B244,Sales_Transactions!B$2:B$251,Sales_Transactions!M$2:M$251)</f>
        <v>2805</v>
      </c>
      <c r="E244" s="32"/>
    </row>
    <row r="245" spans="2:5">
      <c r="B245" s="3">
        <v>44944</v>
      </c>
      <c r="C245" s="3" t="str">
        <f t="shared" si="3"/>
        <v>January</v>
      </c>
      <c r="D245" s="35">
        <f>_xlfn.XLOOKUP(B245,Sales_Transactions!B$2:B$251,Sales_Transactions!M$2:M$251)</f>
        <v>7600</v>
      </c>
      <c r="E245" s="32"/>
    </row>
    <row r="246" spans="2:5">
      <c r="B246" s="3">
        <v>45138</v>
      </c>
      <c r="C246" s="3" t="str">
        <f t="shared" si="3"/>
        <v>July</v>
      </c>
      <c r="D246" s="35">
        <f>_xlfn.XLOOKUP(B246,Sales_Transactions!B$2:B$251,Sales_Transactions!M$2:M$251)</f>
        <v>2000</v>
      </c>
      <c r="E246" s="32"/>
    </row>
    <row r="247" spans="2:5">
      <c r="B247" s="3">
        <v>45425</v>
      </c>
      <c r="C247" s="3" t="str">
        <f t="shared" si="3"/>
        <v>May</v>
      </c>
      <c r="D247" s="35">
        <f>_xlfn.XLOOKUP(B247,Sales_Transactions!B$2:B$251,Sales_Transactions!M$2:M$251)</f>
        <v>-1575</v>
      </c>
      <c r="E247" s="32"/>
    </row>
    <row r="248" spans="2:5">
      <c r="B248" s="3">
        <v>45254</v>
      </c>
      <c r="C248" s="3" t="str">
        <f t="shared" si="3"/>
        <v>November</v>
      </c>
      <c r="D248" s="35" t="str">
        <f>_xlfn.XLOOKUP(B248,Sales_Transactions!B$2:B$251,Sales_Transactions!M$2:M$251)</f>
        <v>N/A</v>
      </c>
      <c r="E248" s="32"/>
    </row>
    <row r="249" spans="2:5">
      <c r="B249" s="3">
        <v>45443</v>
      </c>
      <c r="C249" s="3" t="str">
        <f t="shared" si="3"/>
        <v>May</v>
      </c>
      <c r="D249" s="35">
        <f>_xlfn.XLOOKUP(B249,Sales_Transactions!B$2:B$251,Sales_Transactions!M$2:M$251)</f>
        <v>5000</v>
      </c>
      <c r="E249" s="32"/>
    </row>
    <row r="250" spans="2:5">
      <c r="B250" s="3">
        <v>45480</v>
      </c>
      <c r="C250" s="3" t="str">
        <f t="shared" si="3"/>
        <v>July</v>
      </c>
      <c r="D250" s="35">
        <f>_xlfn.XLOOKUP(B250,Sales_Transactions!B$2:B$251,Sales_Transactions!M$2:M$251)</f>
        <v>2640</v>
      </c>
      <c r="E250" s="32"/>
    </row>
    <row r="251" spans="2:5">
      <c r="B251" s="3">
        <v>45036</v>
      </c>
      <c r="C251" s="3" t="str">
        <f t="shared" si="3"/>
        <v>April</v>
      </c>
      <c r="D251" s="35">
        <f>_xlfn.XLOOKUP(B251,Sales_Transactions!B$2:B$251,Sales_Transactions!M$2:M$251)</f>
        <v>760</v>
      </c>
      <c r="E251" s="32"/>
    </row>
    <row r="252" spans="2:5">
      <c r="B252" s="3">
        <v>45263</v>
      </c>
      <c r="C252" s="3" t="str">
        <f t="shared" si="3"/>
        <v>December</v>
      </c>
      <c r="D252" s="35">
        <f>_xlfn.XLOOKUP(B252,Sales_Transactions!B$2:B$251,Sales_Transactions!M$2:M$251)</f>
        <v>18000</v>
      </c>
      <c r="E252" s="32"/>
    </row>
    <row r="253" spans="2:5">
      <c r="B253" s="3">
        <v>45324</v>
      </c>
      <c r="C253" s="3" t="str">
        <f t="shared" si="3"/>
        <v>February</v>
      </c>
      <c r="D253" s="35" t="str">
        <f>_xlfn.XLOOKUP(B253,Sales_Transactions!B$2:B$251,Sales_Transactions!M$2:M$251)</f>
        <v>N/A</v>
      </c>
      <c r="E253" s="32"/>
    </row>
    <row r="254" spans="2:5">
      <c r="B254" s="3">
        <v>45293</v>
      </c>
      <c r="C254" s="3" t="str">
        <f t="shared" si="3"/>
        <v>January</v>
      </c>
      <c r="D254" s="35" t="str">
        <f>_xlfn.XLOOKUP(B254,Sales_Transactions!B$2:B$251,Sales_Transactions!M$2:M$251)</f>
        <v>N/A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3F35-C885-4B6D-9513-FEB82A2E7D2D}">
  <dimension ref="A1:H78"/>
  <sheetViews>
    <sheetView tabSelected="1" workbookViewId="0">
      <selection activeCell="K9" sqref="K9"/>
    </sheetView>
  </sheetViews>
  <sheetFormatPr defaultRowHeight="15"/>
  <cols>
    <col min="3" max="3" width="15.28515625" bestFit="1" customWidth="1"/>
    <col min="4" max="4" width="14.5703125" bestFit="1" customWidth="1"/>
    <col min="5" max="5" width="8.140625" bestFit="1" customWidth="1"/>
    <col min="6" max="6" width="30.5703125" bestFit="1" customWidth="1"/>
    <col min="7" max="7" width="15" customWidth="1"/>
    <col min="8" max="8" width="7.42578125" bestFit="1" customWidth="1"/>
    <col min="9" max="10" width="13.85546875" bestFit="1" customWidth="1"/>
    <col min="11" max="12" width="15.42578125" bestFit="1" customWidth="1"/>
    <col min="13" max="13" width="32" bestFit="1" customWidth="1"/>
    <col min="14" max="14" width="11.7109375" bestFit="1" customWidth="1"/>
    <col min="15" max="15" width="7.5703125" bestFit="1" customWidth="1"/>
    <col min="16" max="16" width="11.7109375" bestFit="1" customWidth="1"/>
    <col min="17" max="17" width="7.5703125" bestFit="1" customWidth="1"/>
    <col min="18" max="23" width="8.7109375" bestFit="1" customWidth="1"/>
    <col min="24" max="24" width="11.7109375" bestFit="1" customWidth="1"/>
  </cols>
  <sheetData>
    <row r="1" spans="1:8" s="41" customFormat="1" ht="50.25" customHeight="1">
      <c r="A1" s="43" t="s">
        <v>770</v>
      </c>
    </row>
    <row r="3" spans="1:8">
      <c r="G3" s="42" t="s">
        <v>9</v>
      </c>
      <c r="H3" s="42" t="s">
        <v>771</v>
      </c>
    </row>
    <row r="4" spans="1:8">
      <c r="G4" s="39" t="s">
        <v>19</v>
      </c>
      <c r="H4" s="40">
        <v>0.30399999999999999</v>
      </c>
    </row>
    <row r="7" spans="1:8">
      <c r="C7" s="1" t="s">
        <v>4</v>
      </c>
      <c r="D7" s="1" t="s">
        <v>9</v>
      </c>
      <c r="E7" s="37" t="s">
        <v>771</v>
      </c>
      <c r="F7" s="37" t="s">
        <v>625</v>
      </c>
    </row>
    <row r="8" spans="1:8">
      <c r="C8" s="2" t="s">
        <v>37</v>
      </c>
      <c r="D8" s="2" t="s">
        <v>32</v>
      </c>
      <c r="E8" s="38">
        <v>0.192</v>
      </c>
      <c r="F8" s="38" t="str">
        <f>_xlfn.XLOOKUP(C8,Sales_Reps!A$2:A$13,Sales_Reps!D$2:D$13)</f>
        <v>Small and Medium-Sized Business</v>
      </c>
    </row>
    <row r="9" spans="1:8">
      <c r="C9" s="2" t="s">
        <v>37</v>
      </c>
      <c r="D9" s="2" t="s">
        <v>82</v>
      </c>
      <c r="E9" s="38">
        <v>9.6000000000000002E-2</v>
      </c>
      <c r="F9" s="38" t="str">
        <f>_xlfn.XLOOKUP(C9,Sales_Reps!A$2:A$13,Sales_Reps!D$2:D$13)</f>
        <v>Small and Medium-Sized Business</v>
      </c>
    </row>
    <row r="10" spans="1:8">
      <c r="C10" s="2" t="s">
        <v>37</v>
      </c>
      <c r="D10" s="2" t="s">
        <v>47</v>
      </c>
      <c r="E10" s="38">
        <v>0.2</v>
      </c>
      <c r="F10" s="38" t="str">
        <f>_xlfn.XLOOKUP(C10,Sales_Reps!A$2:A$13,Sales_Reps!D$2:D$13)</f>
        <v>Small and Medium-Sized Business</v>
      </c>
    </row>
    <row r="11" spans="1:8">
      <c r="C11" s="2" t="s">
        <v>37</v>
      </c>
      <c r="D11" s="2" t="s">
        <v>88</v>
      </c>
      <c r="E11" s="38">
        <v>9.6000000000000002E-2</v>
      </c>
      <c r="F11" s="38" t="str">
        <f>_xlfn.XLOOKUP(C11,Sales_Reps!A$2:A$13,Sales_Reps!D$2:D$13)</f>
        <v>Small and Medium-Sized Business</v>
      </c>
    </row>
    <row r="12" spans="1:8">
      <c r="C12" s="2" t="s">
        <v>37</v>
      </c>
      <c r="D12" s="2" t="s">
        <v>19</v>
      </c>
      <c r="E12" s="38">
        <v>0.30399999999999999</v>
      </c>
      <c r="F12" s="38" t="str">
        <f>_xlfn.XLOOKUP(C12,Sales_Reps!A$2:A$13,Sales_Reps!D$2:D$13)</f>
        <v>Small and Medium-Sized Business</v>
      </c>
    </row>
    <row r="13" spans="1:8">
      <c r="C13" s="2" t="s">
        <v>37</v>
      </c>
      <c r="D13" s="2" t="s">
        <v>74</v>
      </c>
      <c r="E13" s="38">
        <v>0.112</v>
      </c>
      <c r="F13" s="38" t="str">
        <f>_xlfn.XLOOKUP(C13,Sales_Reps!A$2:A$13,Sales_Reps!D$2:D$13)</f>
        <v>Small and Medium-Sized Business</v>
      </c>
    </row>
    <row r="14" spans="1:8">
      <c r="C14" s="2" t="s">
        <v>42</v>
      </c>
      <c r="D14" s="2" t="s">
        <v>32</v>
      </c>
      <c r="E14" s="38">
        <v>0.192</v>
      </c>
      <c r="F14" s="38" t="str">
        <f>_xlfn.XLOOKUP(C14,Sales_Reps!A$2:A$13,Sales_Reps!D$2:D$13)</f>
        <v>Small and Medium-Sized Business</v>
      </c>
    </row>
    <row r="15" spans="1:8">
      <c r="C15" s="2" t="s">
        <v>42</v>
      </c>
      <c r="D15" s="2" t="s">
        <v>19</v>
      </c>
      <c r="E15" s="38">
        <v>0.30399999999999999</v>
      </c>
      <c r="F15" s="38" t="str">
        <f>_xlfn.XLOOKUP(C15,Sales_Reps!A$2:A$13,Sales_Reps!D$2:D$13)</f>
        <v>Small and Medium-Sized Business</v>
      </c>
    </row>
    <row r="16" spans="1:8">
      <c r="C16" s="2" t="s">
        <v>42</v>
      </c>
      <c r="D16" s="2" t="s">
        <v>47</v>
      </c>
      <c r="E16" s="38">
        <v>0.2</v>
      </c>
      <c r="F16" s="38" t="str">
        <f>_xlfn.XLOOKUP(C16,Sales_Reps!A$2:A$13,Sales_Reps!D$2:D$13)</f>
        <v>Small and Medium-Sized Business</v>
      </c>
    </row>
    <row r="17" spans="3:6">
      <c r="C17" s="2" t="s">
        <v>42</v>
      </c>
      <c r="D17" s="2" t="s">
        <v>74</v>
      </c>
      <c r="E17" s="38">
        <v>0.112</v>
      </c>
      <c r="F17" s="38" t="str">
        <f>_xlfn.XLOOKUP(C17,Sales_Reps!A$2:A$13,Sales_Reps!D$2:D$13)</f>
        <v>Small and Medium-Sized Business</v>
      </c>
    </row>
    <row r="18" spans="3:6">
      <c r="C18" s="2" t="s">
        <v>42</v>
      </c>
      <c r="D18" s="2" t="s">
        <v>82</v>
      </c>
      <c r="E18" s="38">
        <v>9.6000000000000002E-2</v>
      </c>
      <c r="F18" s="38" t="str">
        <f>_xlfn.XLOOKUP(C18,Sales_Reps!A$2:A$13,Sales_Reps!D$2:D$13)</f>
        <v>Small and Medium-Sized Business</v>
      </c>
    </row>
    <row r="19" spans="3:6">
      <c r="C19" s="2" t="s">
        <v>42</v>
      </c>
      <c r="D19" s="2" t="s">
        <v>88</v>
      </c>
      <c r="E19" s="38">
        <v>9.6000000000000002E-2</v>
      </c>
      <c r="F19" s="38" t="str">
        <f>_xlfn.XLOOKUP(C19,Sales_Reps!A$2:A$13,Sales_Reps!D$2:D$13)</f>
        <v>Small and Medium-Sized Business</v>
      </c>
    </row>
    <row r="20" spans="3:6">
      <c r="C20" s="2" t="s">
        <v>53</v>
      </c>
      <c r="D20" s="2" t="s">
        <v>19</v>
      </c>
      <c r="E20" s="38">
        <v>0.30399999999999999</v>
      </c>
      <c r="F20" s="38" t="str">
        <f>_xlfn.XLOOKUP(C20,Sales_Reps!A$2:A$13,Sales_Reps!D$2:D$13)</f>
        <v>Small and Medium-Sized Business</v>
      </c>
    </row>
    <row r="21" spans="3:6">
      <c r="C21" s="2" t="s">
        <v>53</v>
      </c>
      <c r="D21" s="2" t="s">
        <v>88</v>
      </c>
      <c r="E21" s="38">
        <v>9.6000000000000002E-2</v>
      </c>
      <c r="F21" s="38" t="str">
        <f>_xlfn.XLOOKUP(C21,Sales_Reps!A$2:A$13,Sales_Reps!D$2:D$13)</f>
        <v>Small and Medium-Sized Business</v>
      </c>
    </row>
    <row r="22" spans="3:6">
      <c r="C22" s="2" t="s">
        <v>53</v>
      </c>
      <c r="D22" s="2" t="s">
        <v>74</v>
      </c>
      <c r="E22" s="38">
        <v>0.112</v>
      </c>
      <c r="F22" s="38" t="str">
        <f>_xlfn.XLOOKUP(C22,Sales_Reps!A$2:A$13,Sales_Reps!D$2:D$13)</f>
        <v>Small and Medium-Sized Business</v>
      </c>
    </row>
    <row r="23" spans="3:6">
      <c r="C23" s="2" t="s">
        <v>53</v>
      </c>
      <c r="D23" s="2" t="s">
        <v>47</v>
      </c>
      <c r="E23" s="38">
        <v>0.2</v>
      </c>
      <c r="F23" s="38" t="str">
        <f>_xlfn.XLOOKUP(C23,Sales_Reps!A$2:A$13,Sales_Reps!D$2:D$13)</f>
        <v>Small and Medium-Sized Business</v>
      </c>
    </row>
    <row r="24" spans="3:6">
      <c r="C24" s="2" t="s">
        <v>53</v>
      </c>
      <c r="D24" s="2" t="s">
        <v>82</v>
      </c>
      <c r="E24" s="38">
        <v>9.6000000000000002E-2</v>
      </c>
      <c r="F24" s="38" t="str">
        <f>_xlfn.XLOOKUP(C24,Sales_Reps!A$2:A$13,Sales_Reps!D$2:D$13)</f>
        <v>Small and Medium-Sized Business</v>
      </c>
    </row>
    <row r="25" spans="3:6">
      <c r="C25" s="2" t="s">
        <v>53</v>
      </c>
      <c r="D25" s="2" t="s">
        <v>32</v>
      </c>
      <c r="E25" s="38">
        <v>0.192</v>
      </c>
      <c r="F25" s="38" t="str">
        <f>_xlfn.XLOOKUP(C25,Sales_Reps!A$2:A$13,Sales_Reps!D$2:D$13)</f>
        <v>Small and Medium-Sized Business</v>
      </c>
    </row>
    <row r="26" spans="3:6">
      <c r="C26" s="2" t="s">
        <v>25</v>
      </c>
      <c r="D26" s="2" t="s">
        <v>19</v>
      </c>
      <c r="E26" s="38">
        <v>0.30399999999999999</v>
      </c>
      <c r="F26" s="38" t="str">
        <f>_xlfn.XLOOKUP(C26,Sales_Reps!A$2:A$13,Sales_Reps!D$2:D$13)</f>
        <v>Enterprise</v>
      </c>
    </row>
    <row r="27" spans="3:6">
      <c r="C27" s="2" t="s">
        <v>25</v>
      </c>
      <c r="D27" s="2" t="s">
        <v>32</v>
      </c>
      <c r="E27" s="38">
        <v>0.192</v>
      </c>
      <c r="F27" s="38" t="str">
        <f>_xlfn.XLOOKUP(C27,Sales_Reps!A$2:A$13,Sales_Reps!D$2:D$13)</f>
        <v>Enterprise</v>
      </c>
    </row>
    <row r="28" spans="3:6">
      <c r="C28" s="2" t="s">
        <v>25</v>
      </c>
      <c r="D28" s="2" t="s">
        <v>88</v>
      </c>
      <c r="E28" s="38">
        <v>9.6000000000000002E-2</v>
      </c>
      <c r="F28" s="38" t="str">
        <f>_xlfn.XLOOKUP(C28,Sales_Reps!A$2:A$13,Sales_Reps!D$2:D$13)</f>
        <v>Enterprise</v>
      </c>
    </row>
    <row r="29" spans="3:6">
      <c r="C29" s="2" t="s">
        <v>25</v>
      </c>
      <c r="D29" s="2" t="s">
        <v>47</v>
      </c>
      <c r="E29" s="38">
        <v>0.2</v>
      </c>
      <c r="F29" s="38" t="str">
        <f>_xlfn.XLOOKUP(C29,Sales_Reps!A$2:A$13,Sales_Reps!D$2:D$13)</f>
        <v>Enterprise</v>
      </c>
    </row>
    <row r="30" spans="3:6">
      <c r="C30" s="2" t="s">
        <v>25</v>
      </c>
      <c r="D30" s="2" t="s">
        <v>74</v>
      </c>
      <c r="E30" s="38">
        <v>0.112</v>
      </c>
      <c r="F30" s="38" t="str">
        <f>_xlfn.XLOOKUP(C30,Sales_Reps!A$2:A$13,Sales_Reps!D$2:D$13)</f>
        <v>Enterprise</v>
      </c>
    </row>
    <row r="31" spans="3:6">
      <c r="C31" s="2" t="s">
        <v>25</v>
      </c>
      <c r="D31" s="2" t="s">
        <v>82</v>
      </c>
      <c r="E31" s="38">
        <v>9.6000000000000002E-2</v>
      </c>
      <c r="F31" s="38" t="str">
        <f>_xlfn.XLOOKUP(C31,Sales_Reps!A$2:A$13,Sales_Reps!D$2:D$13)</f>
        <v>Enterprise</v>
      </c>
    </row>
    <row r="32" spans="3:6">
      <c r="C32" s="2" t="s">
        <v>97</v>
      </c>
      <c r="D32" s="2" t="s">
        <v>19</v>
      </c>
      <c r="E32" s="38">
        <v>0.30399999999999999</v>
      </c>
      <c r="F32" s="38" t="str">
        <f>_xlfn.XLOOKUP(C32,Sales_Reps!A$2:A$13,Sales_Reps!D$2:D$13)</f>
        <v>Small and Medium-Sized Business</v>
      </c>
    </row>
    <row r="33" spans="3:6">
      <c r="C33" s="2" t="s">
        <v>97</v>
      </c>
      <c r="D33" s="2" t="s">
        <v>32</v>
      </c>
      <c r="E33" s="38">
        <v>0.192</v>
      </c>
      <c r="F33" s="38" t="str">
        <f>_xlfn.XLOOKUP(C33,Sales_Reps!A$2:A$13,Sales_Reps!D$2:D$13)</f>
        <v>Small and Medium-Sized Business</v>
      </c>
    </row>
    <row r="34" spans="3:6">
      <c r="C34" s="2" t="s">
        <v>97</v>
      </c>
      <c r="D34" s="2" t="s">
        <v>74</v>
      </c>
      <c r="E34" s="38">
        <v>0.112</v>
      </c>
      <c r="F34" s="38" t="str">
        <f>_xlfn.XLOOKUP(C34,Sales_Reps!A$2:A$13,Sales_Reps!D$2:D$13)</f>
        <v>Small and Medium-Sized Business</v>
      </c>
    </row>
    <row r="35" spans="3:6">
      <c r="C35" s="2" t="s">
        <v>97</v>
      </c>
      <c r="D35" s="2" t="s">
        <v>47</v>
      </c>
      <c r="E35" s="38">
        <v>0.2</v>
      </c>
      <c r="F35" s="38" t="str">
        <f>_xlfn.XLOOKUP(C35,Sales_Reps!A$2:A$13,Sales_Reps!D$2:D$13)</f>
        <v>Small and Medium-Sized Business</v>
      </c>
    </row>
    <row r="36" spans="3:6">
      <c r="C36" s="2" t="s">
        <v>97</v>
      </c>
      <c r="D36" s="2" t="s">
        <v>88</v>
      </c>
      <c r="E36" s="38">
        <v>9.6000000000000002E-2</v>
      </c>
      <c r="F36" s="38" t="str">
        <f>_xlfn.XLOOKUP(C36,Sales_Reps!A$2:A$13,Sales_Reps!D$2:D$13)</f>
        <v>Small and Medium-Sized Business</v>
      </c>
    </row>
    <row r="37" spans="3:6">
      <c r="C37" s="2" t="s">
        <v>97</v>
      </c>
      <c r="D37" s="2" t="s">
        <v>82</v>
      </c>
      <c r="E37" s="38">
        <v>9.6000000000000002E-2</v>
      </c>
      <c r="F37" s="38" t="str">
        <f>_xlfn.XLOOKUP(C37,Sales_Reps!A$2:A$13,Sales_Reps!D$2:D$13)</f>
        <v>Small and Medium-Sized Business</v>
      </c>
    </row>
    <row r="38" spans="3:6">
      <c r="C38" s="2" t="s">
        <v>87</v>
      </c>
      <c r="D38" s="2" t="s">
        <v>88</v>
      </c>
      <c r="E38" s="38">
        <v>9.6000000000000002E-2</v>
      </c>
      <c r="F38" s="38" t="str">
        <f>_xlfn.XLOOKUP(C38,Sales_Reps!A$2:A$13,Sales_Reps!D$2:D$13)</f>
        <v>Enterprise</v>
      </c>
    </row>
    <row r="39" spans="3:6">
      <c r="C39" s="2" t="s">
        <v>87</v>
      </c>
      <c r="D39" s="2" t="s">
        <v>74</v>
      </c>
      <c r="E39" s="38">
        <v>0.112</v>
      </c>
      <c r="F39" s="38" t="str">
        <f>_xlfn.XLOOKUP(C39,Sales_Reps!A$2:A$13,Sales_Reps!D$2:D$13)</f>
        <v>Enterprise</v>
      </c>
    </row>
    <row r="40" spans="3:6">
      <c r="C40" s="2" t="s">
        <v>87</v>
      </c>
      <c r="D40" s="2" t="s">
        <v>47</v>
      </c>
      <c r="E40" s="38">
        <v>0.2</v>
      </c>
      <c r="F40" s="38" t="str">
        <f>_xlfn.XLOOKUP(C40,Sales_Reps!A$2:A$13,Sales_Reps!D$2:D$13)</f>
        <v>Enterprise</v>
      </c>
    </row>
    <row r="41" spans="3:6">
      <c r="C41" s="2" t="s">
        <v>87</v>
      </c>
      <c r="D41" s="2" t="s">
        <v>32</v>
      </c>
      <c r="E41" s="38">
        <v>0.192</v>
      </c>
      <c r="F41" s="38" t="str">
        <f>_xlfn.XLOOKUP(C41,Sales_Reps!A$2:A$13,Sales_Reps!D$2:D$13)</f>
        <v>Enterprise</v>
      </c>
    </row>
    <row r="42" spans="3:6">
      <c r="C42" s="2" t="s">
        <v>87</v>
      </c>
      <c r="D42" s="2" t="s">
        <v>19</v>
      </c>
      <c r="E42" s="38">
        <v>0.30399999999999999</v>
      </c>
      <c r="F42" s="38" t="str">
        <f>_xlfn.XLOOKUP(C42,Sales_Reps!A$2:A$13,Sales_Reps!D$2:D$13)</f>
        <v>Enterprise</v>
      </c>
    </row>
    <row r="43" spans="3:6">
      <c r="C43" s="2" t="s">
        <v>87</v>
      </c>
      <c r="D43" s="2" t="s">
        <v>82</v>
      </c>
      <c r="E43" s="38">
        <v>9.6000000000000002E-2</v>
      </c>
      <c r="F43" s="38" t="str">
        <f>_xlfn.XLOOKUP(C43,Sales_Reps!A$2:A$13,Sales_Reps!D$2:D$13)</f>
        <v>Enterprise</v>
      </c>
    </row>
    <row r="44" spans="3:6">
      <c r="C44" s="2" t="s">
        <v>16</v>
      </c>
      <c r="D44" s="2" t="s">
        <v>19</v>
      </c>
      <c r="E44" s="38">
        <v>0.30399999999999999</v>
      </c>
      <c r="F44" s="38" t="str">
        <f>_xlfn.XLOOKUP(C44,Sales_Reps!A$2:A$13,Sales_Reps!D$2:D$13)</f>
        <v>Enterprise</v>
      </c>
    </row>
    <row r="45" spans="3:6">
      <c r="C45" s="2" t="s">
        <v>16</v>
      </c>
      <c r="D45" s="2" t="s">
        <v>82</v>
      </c>
      <c r="E45" s="38">
        <v>9.6000000000000002E-2</v>
      </c>
      <c r="F45" s="38" t="str">
        <f>_xlfn.XLOOKUP(C45,Sales_Reps!A$2:A$13,Sales_Reps!D$2:D$13)</f>
        <v>Enterprise</v>
      </c>
    </row>
    <row r="46" spans="3:6">
      <c r="C46" s="2" t="s">
        <v>16</v>
      </c>
      <c r="D46" s="2" t="s">
        <v>32</v>
      </c>
      <c r="E46" s="38">
        <v>0.192</v>
      </c>
      <c r="F46" s="38" t="str">
        <f>_xlfn.XLOOKUP(C46,Sales_Reps!A$2:A$13,Sales_Reps!D$2:D$13)</f>
        <v>Enterprise</v>
      </c>
    </row>
    <row r="47" spans="3:6">
      <c r="C47" s="2" t="s">
        <v>16</v>
      </c>
      <c r="D47" s="2" t="s">
        <v>88</v>
      </c>
      <c r="E47" s="38">
        <v>9.6000000000000002E-2</v>
      </c>
      <c r="F47" s="38" t="str">
        <f>_xlfn.XLOOKUP(C47,Sales_Reps!A$2:A$13,Sales_Reps!D$2:D$13)</f>
        <v>Enterprise</v>
      </c>
    </row>
    <row r="48" spans="3:6">
      <c r="C48" s="2" t="s">
        <v>16</v>
      </c>
      <c r="D48" s="2" t="s">
        <v>74</v>
      </c>
      <c r="E48" s="38">
        <v>0.112</v>
      </c>
      <c r="F48" s="38" t="str">
        <f>_xlfn.XLOOKUP(C48,Sales_Reps!A$2:A$13,Sales_Reps!D$2:D$13)</f>
        <v>Enterprise</v>
      </c>
    </row>
    <row r="49" spans="3:6">
      <c r="C49" s="2" t="s">
        <v>16</v>
      </c>
      <c r="D49" s="2" t="s">
        <v>47</v>
      </c>
      <c r="E49" s="38">
        <v>0.2</v>
      </c>
      <c r="F49" s="38" t="str">
        <f>_xlfn.XLOOKUP(C49,Sales_Reps!A$2:A$13,Sales_Reps!D$2:D$13)</f>
        <v>Enterprise</v>
      </c>
    </row>
    <row r="50" spans="3:6">
      <c r="C50" s="2" t="s">
        <v>112</v>
      </c>
      <c r="D50" s="2" t="s">
        <v>19</v>
      </c>
      <c r="E50" s="38">
        <v>0.30399999999999999</v>
      </c>
      <c r="F50" s="38" t="str">
        <f>_xlfn.XLOOKUP(C50,Sales_Reps!A$2:A$13,Sales_Reps!D$2:D$13)</f>
        <v>Enterprise</v>
      </c>
    </row>
    <row r="51" spans="3:6">
      <c r="C51" s="2" t="s">
        <v>112</v>
      </c>
      <c r="D51" s="2" t="s">
        <v>82</v>
      </c>
      <c r="E51" s="38">
        <v>9.6000000000000002E-2</v>
      </c>
      <c r="F51" s="38" t="str">
        <f>_xlfn.XLOOKUP(C51,Sales_Reps!A$2:A$13,Sales_Reps!D$2:D$13)</f>
        <v>Enterprise</v>
      </c>
    </row>
    <row r="52" spans="3:6">
      <c r="C52" s="2" t="s">
        <v>112</v>
      </c>
      <c r="D52" s="2" t="s">
        <v>32</v>
      </c>
      <c r="E52" s="38">
        <v>0.192</v>
      </c>
      <c r="F52" s="38" t="str">
        <f>_xlfn.XLOOKUP(C52,Sales_Reps!A$2:A$13,Sales_Reps!D$2:D$13)</f>
        <v>Enterprise</v>
      </c>
    </row>
    <row r="53" spans="3:6">
      <c r="C53" s="2" t="s">
        <v>112</v>
      </c>
      <c r="D53" s="2" t="s">
        <v>47</v>
      </c>
      <c r="E53" s="38">
        <v>0.2</v>
      </c>
      <c r="F53" s="38" t="str">
        <f>_xlfn.XLOOKUP(C53,Sales_Reps!A$2:A$13,Sales_Reps!D$2:D$13)</f>
        <v>Enterprise</v>
      </c>
    </row>
    <row r="54" spans="3:6">
      <c r="C54" s="2" t="s">
        <v>112</v>
      </c>
      <c r="D54" s="2" t="s">
        <v>74</v>
      </c>
      <c r="E54" s="38">
        <v>0.112</v>
      </c>
      <c r="F54" s="38" t="str">
        <f>_xlfn.XLOOKUP(C54,Sales_Reps!A$2:A$13,Sales_Reps!D$2:D$13)</f>
        <v>Enterprise</v>
      </c>
    </row>
    <row r="55" spans="3:6">
      <c r="C55" s="2" t="s">
        <v>112</v>
      </c>
      <c r="D55" s="2" t="s">
        <v>88</v>
      </c>
      <c r="E55" s="38">
        <v>9.6000000000000002E-2</v>
      </c>
      <c r="F55" s="38" t="str">
        <f>_xlfn.XLOOKUP(C55,Sales_Reps!A$2:A$13,Sales_Reps!D$2:D$13)</f>
        <v>Enterprise</v>
      </c>
    </row>
    <row r="56" spans="3:6">
      <c r="C56" s="2" t="s">
        <v>69</v>
      </c>
      <c r="D56" s="2" t="s">
        <v>19</v>
      </c>
      <c r="E56" s="38">
        <v>0.30399999999999999</v>
      </c>
      <c r="F56" s="38" t="str">
        <f>_xlfn.XLOOKUP(C56,Sales_Reps!A$2:A$13,Sales_Reps!D$2:D$13)</f>
        <v>Mid-Market</v>
      </c>
    </row>
    <row r="57" spans="3:6">
      <c r="C57" s="2" t="s">
        <v>69</v>
      </c>
      <c r="D57" s="2" t="s">
        <v>32</v>
      </c>
      <c r="E57" s="38">
        <v>0.192</v>
      </c>
      <c r="F57" s="38" t="str">
        <f>_xlfn.XLOOKUP(C57,Sales_Reps!A$2:A$13,Sales_Reps!D$2:D$13)</f>
        <v>Mid-Market</v>
      </c>
    </row>
    <row r="58" spans="3:6">
      <c r="C58" s="2" t="s">
        <v>69</v>
      </c>
      <c r="D58" s="2" t="s">
        <v>88</v>
      </c>
      <c r="E58" s="38">
        <v>9.6000000000000002E-2</v>
      </c>
      <c r="F58" s="38" t="str">
        <f>_xlfn.XLOOKUP(C58,Sales_Reps!A$2:A$13,Sales_Reps!D$2:D$13)</f>
        <v>Mid-Market</v>
      </c>
    </row>
    <row r="59" spans="3:6">
      <c r="C59" s="2" t="s">
        <v>69</v>
      </c>
      <c r="D59" s="2" t="s">
        <v>47</v>
      </c>
      <c r="E59" s="38">
        <v>0.2</v>
      </c>
      <c r="F59" s="38" t="str">
        <f>_xlfn.XLOOKUP(C59,Sales_Reps!A$2:A$13,Sales_Reps!D$2:D$13)</f>
        <v>Mid-Market</v>
      </c>
    </row>
    <row r="60" spans="3:6">
      <c r="C60" s="2" t="s">
        <v>69</v>
      </c>
      <c r="D60" s="2" t="s">
        <v>82</v>
      </c>
      <c r="E60" s="38">
        <v>9.6000000000000002E-2</v>
      </c>
      <c r="F60" s="38" t="str">
        <f>_xlfn.XLOOKUP(C60,Sales_Reps!A$2:A$13,Sales_Reps!D$2:D$13)</f>
        <v>Mid-Market</v>
      </c>
    </row>
    <row r="61" spans="3:6">
      <c r="C61" s="2" t="s">
        <v>85</v>
      </c>
      <c r="D61" s="2" t="s">
        <v>19</v>
      </c>
      <c r="E61" s="38">
        <v>0.30399999999999999</v>
      </c>
      <c r="F61" s="38" t="str">
        <f>_xlfn.XLOOKUP(C61,Sales_Reps!A$2:A$13,Sales_Reps!D$2:D$13)</f>
        <v>Mid-Market</v>
      </c>
    </row>
    <row r="62" spans="3:6">
      <c r="C62" s="2" t="s">
        <v>85</v>
      </c>
      <c r="D62" s="2" t="s">
        <v>88</v>
      </c>
      <c r="E62" s="38">
        <v>9.6000000000000002E-2</v>
      </c>
      <c r="F62" s="38" t="str">
        <f>_xlfn.XLOOKUP(C62,Sales_Reps!A$2:A$13,Sales_Reps!D$2:D$13)</f>
        <v>Mid-Market</v>
      </c>
    </row>
    <row r="63" spans="3:6">
      <c r="C63" s="2" t="s">
        <v>85</v>
      </c>
      <c r="D63" s="2" t="s">
        <v>47</v>
      </c>
      <c r="E63" s="38">
        <v>0.2</v>
      </c>
      <c r="F63" s="38" t="str">
        <f>_xlfn.XLOOKUP(C63,Sales_Reps!A$2:A$13,Sales_Reps!D$2:D$13)</f>
        <v>Mid-Market</v>
      </c>
    </row>
    <row r="64" spans="3:6">
      <c r="C64" s="2" t="s">
        <v>85</v>
      </c>
      <c r="D64" s="2" t="s">
        <v>74</v>
      </c>
      <c r="E64" s="38">
        <v>0.112</v>
      </c>
      <c r="F64" s="38" t="str">
        <f>_xlfn.XLOOKUP(C64,Sales_Reps!A$2:A$13,Sales_Reps!D$2:D$13)</f>
        <v>Mid-Market</v>
      </c>
    </row>
    <row r="65" spans="3:6">
      <c r="C65" s="2" t="s">
        <v>85</v>
      </c>
      <c r="D65" s="2" t="s">
        <v>82</v>
      </c>
      <c r="E65" s="38">
        <v>9.6000000000000002E-2</v>
      </c>
      <c r="F65" s="38" t="str">
        <f>_xlfn.XLOOKUP(C65,Sales_Reps!A$2:A$13,Sales_Reps!D$2:D$13)</f>
        <v>Mid-Market</v>
      </c>
    </row>
    <row r="66" spans="3:6">
      <c r="C66" s="2" t="s">
        <v>85</v>
      </c>
      <c r="D66" s="2" t="s">
        <v>32</v>
      </c>
      <c r="E66" s="38">
        <v>0.192</v>
      </c>
      <c r="F66" s="38" t="str">
        <f>_xlfn.XLOOKUP(C66,Sales_Reps!A$2:A$13,Sales_Reps!D$2:D$13)</f>
        <v>Mid-Market</v>
      </c>
    </row>
    <row r="67" spans="3:6">
      <c r="C67" s="2" t="s">
        <v>73</v>
      </c>
      <c r="D67" s="2" t="s">
        <v>74</v>
      </c>
      <c r="E67" s="38">
        <v>0.112</v>
      </c>
      <c r="F67" s="38" t="str">
        <f>_xlfn.XLOOKUP(C67,Sales_Reps!A$2:A$13,Sales_Reps!D$2:D$13)</f>
        <v>Enterprise</v>
      </c>
    </row>
    <row r="68" spans="3:6">
      <c r="C68" s="2" t="s">
        <v>73</v>
      </c>
      <c r="D68" s="2" t="s">
        <v>32</v>
      </c>
      <c r="E68" s="38">
        <v>0.192</v>
      </c>
      <c r="F68" s="38" t="str">
        <f>_xlfn.XLOOKUP(C68,Sales_Reps!A$2:A$13,Sales_Reps!D$2:D$13)</f>
        <v>Enterprise</v>
      </c>
    </row>
    <row r="69" spans="3:6">
      <c r="C69" s="2" t="s">
        <v>73</v>
      </c>
      <c r="D69" s="2" t="s">
        <v>19</v>
      </c>
      <c r="E69" s="38">
        <v>0.30399999999999999</v>
      </c>
      <c r="F69" s="38" t="str">
        <f>_xlfn.XLOOKUP(C69,Sales_Reps!A$2:A$13,Sales_Reps!D$2:D$13)</f>
        <v>Enterprise</v>
      </c>
    </row>
    <row r="70" spans="3:6">
      <c r="C70" s="2" t="s">
        <v>73</v>
      </c>
      <c r="D70" s="2" t="s">
        <v>88</v>
      </c>
      <c r="E70" s="38">
        <v>9.6000000000000002E-2</v>
      </c>
      <c r="F70" s="38" t="str">
        <f>_xlfn.XLOOKUP(C70,Sales_Reps!A$2:A$13,Sales_Reps!D$2:D$13)</f>
        <v>Enterprise</v>
      </c>
    </row>
    <row r="71" spans="3:6">
      <c r="C71" s="2" t="s">
        <v>73</v>
      </c>
      <c r="D71" s="2" t="s">
        <v>47</v>
      </c>
      <c r="E71" s="38">
        <v>0.2</v>
      </c>
      <c r="F71" s="38" t="str">
        <f>_xlfn.XLOOKUP(C71,Sales_Reps!A$2:A$13,Sales_Reps!D$2:D$13)</f>
        <v>Enterprise</v>
      </c>
    </row>
    <row r="72" spans="3:6">
      <c r="C72" s="2" t="s">
        <v>73</v>
      </c>
      <c r="D72" s="2" t="s">
        <v>82</v>
      </c>
      <c r="E72" s="38">
        <v>9.6000000000000002E-2</v>
      </c>
      <c r="F72" s="38" t="str">
        <f>_xlfn.XLOOKUP(C72,Sales_Reps!A$2:A$13,Sales_Reps!D$2:D$13)</f>
        <v>Enterprise</v>
      </c>
    </row>
    <row r="73" spans="3:6">
      <c r="C73" s="2" t="s">
        <v>46</v>
      </c>
      <c r="D73" s="2" t="s">
        <v>47</v>
      </c>
      <c r="E73" s="38">
        <v>0.2</v>
      </c>
      <c r="F73" s="38" t="str">
        <f>_xlfn.XLOOKUP(C73,Sales_Reps!A$2:A$13,Sales_Reps!D$2:D$13)</f>
        <v>Small and Medium-Sized Business</v>
      </c>
    </row>
    <row r="74" spans="3:6">
      <c r="C74" s="2" t="s">
        <v>46</v>
      </c>
      <c r="D74" s="2" t="s">
        <v>19</v>
      </c>
      <c r="E74" s="38">
        <v>0.30399999999999999</v>
      </c>
      <c r="F74" s="38" t="str">
        <f>_xlfn.XLOOKUP(C74,Sales_Reps!A$2:A$13,Sales_Reps!D$2:D$13)</f>
        <v>Small and Medium-Sized Business</v>
      </c>
    </row>
    <row r="75" spans="3:6">
      <c r="C75" s="2" t="s">
        <v>46</v>
      </c>
      <c r="D75" s="2" t="s">
        <v>88</v>
      </c>
      <c r="E75" s="38">
        <v>9.6000000000000002E-2</v>
      </c>
      <c r="F75" s="38" t="str">
        <f>_xlfn.XLOOKUP(C75,Sales_Reps!A$2:A$13,Sales_Reps!D$2:D$13)</f>
        <v>Small and Medium-Sized Business</v>
      </c>
    </row>
    <row r="76" spans="3:6">
      <c r="C76" s="2" t="s">
        <v>46</v>
      </c>
      <c r="D76" s="2" t="s">
        <v>32</v>
      </c>
      <c r="E76" s="38">
        <v>0.192</v>
      </c>
      <c r="F76" s="38" t="str">
        <f>_xlfn.XLOOKUP(C76,Sales_Reps!A$2:A$13,Sales_Reps!D$2:D$13)</f>
        <v>Small and Medium-Sized Business</v>
      </c>
    </row>
    <row r="77" spans="3:6">
      <c r="C77" s="2" t="s">
        <v>46</v>
      </c>
      <c r="D77" s="2" t="s">
        <v>82</v>
      </c>
      <c r="E77" s="38">
        <v>9.6000000000000002E-2</v>
      </c>
      <c r="F77" s="38" t="str">
        <f>_xlfn.XLOOKUP(C77,Sales_Reps!A$2:A$13,Sales_Reps!D$2:D$13)</f>
        <v>Small and Medium-Sized Business</v>
      </c>
    </row>
    <row r="78" spans="3:6">
      <c r="C78" s="2" t="s">
        <v>46</v>
      </c>
      <c r="D78" s="2" t="s">
        <v>74</v>
      </c>
      <c r="E78" s="38">
        <v>0.112</v>
      </c>
      <c r="F78" s="38" t="str">
        <f>_xlfn.XLOOKUP(C78,Sales_Reps!A$2:A$13,Sales_Reps!D$2:D$13)</f>
        <v>Small and Medium-Sized Business</v>
      </c>
    </row>
  </sheetData>
  <autoFilter ref="C7:F78" xr:uid="{9F703F35-C885-4B6D-9513-FEB82A2E7D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2026-08-15T11:17:24Z</dcterms:created>
  <dcterms:modified xsi:type="dcterms:W3CDTF">2026-08-20T13:25:16Z</dcterms:modified>
  <cp:category/>
  <cp:contentStatus/>
</cp:coreProperties>
</file>